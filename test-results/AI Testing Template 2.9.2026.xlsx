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matthewcoz/Desktop/Management L10 Dashboard-Skill/The AI-CS Project/"/>
    </mc:Choice>
  </mc:AlternateContent>
  <xr:revisionPtr revIDLastSave="0" documentId="8_{D61EDF34-FC15-124B-8785-316E47F9ACD3}" xr6:coauthVersionLast="47" xr6:coauthVersionMax="47" xr10:uidLastSave="{00000000-0000-0000-0000-000000000000}"/>
  <bookViews>
    <workbookView xWindow="4360" yWindow="640" windowWidth="23260" windowHeight="12460" activeTab="4" xr2:uid="{00000000-000D-0000-FFFF-FFFF00000000}"/>
  </bookViews>
  <sheets>
    <sheet name="Overview" sheetId="1" r:id="rId1"/>
    <sheet name="Tractor Fitment" sheetId="2" r:id="rId2"/>
    <sheet name="Product History" sheetId="3" r:id="rId3"/>
    <sheet name="Engine History" sheetId="4" r:id="rId4"/>
    <sheet name="WPP Supervisor"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5" i="5" l="1"/>
  <c r="C114" i="5"/>
  <c r="C113" i="5"/>
  <c r="C112" i="5"/>
  <c r="C115" i="4"/>
  <c r="C114" i="4"/>
  <c r="C113" i="4"/>
  <c r="C112" i="4"/>
  <c r="C115" i="3"/>
  <c r="C114" i="3"/>
  <c r="C113" i="3"/>
  <c r="C112" i="3"/>
  <c r="C128" i="2"/>
  <c r="C127" i="2"/>
  <c r="C126" i="2"/>
  <c r="C125" i="2"/>
  <c r="C65" i="2"/>
  <c r="C136" i="2" s="1"/>
  <c r="C64" i="2"/>
  <c r="C63" i="2"/>
  <c r="C62" i="2"/>
  <c r="C134" i="2" l="1"/>
  <c r="C133" i="2"/>
  <c r="C135" i="2"/>
  <c r="C117" i="4"/>
  <c r="C117" i="5"/>
  <c r="C117" i="3"/>
  <c r="C138" i="2" l="1"/>
</calcChain>
</file>

<file path=xl/sharedStrings.xml><?xml version="1.0" encoding="utf-8"?>
<sst xmlns="http://schemas.openxmlformats.org/spreadsheetml/2006/main" count="2440" uniqueCount="1474">
  <si>
    <t>WPP AI Agent Testing Template</t>
  </si>
  <si>
    <t>Use this workbook to log all agent tests. Each tab corresponds to one agent.</t>
  </si>
  <si>
    <t>TESTING PROCESS</t>
  </si>
  <si>
    <t>1. Capture the question exactly as it arrived (case notes, Teams, phone, walk-up)</t>
  </si>
  <si>
    <t>2. Choose the appropriate agent tab in this workbook</t>
  </si>
  <si>
    <t>3. Submit the question to the agent and wait for the full response</t>
  </si>
  <si>
    <t>4. Review the answer AND click every link to verify accuracy</t>
  </si>
  <si>
    <t>5. Record your result: PASS, PARTIAL FAIL, or FAIL</t>
  </si>
  <si>
    <t>6. If FAIL or PARTIAL FAIL, document why and the correct answer if known</t>
  </si>
  <si>
    <t>7. Save this file regularly to the shared Teams location</t>
  </si>
  <si>
    <t>RESULT DEFINITIONS</t>
  </si>
  <si>
    <t>PASS</t>
  </si>
  <si>
    <t>Answer is accurate, complete enough to use, and all links are correct.</t>
  </si>
  <si>
    <t>PARTIAL FAIL</t>
  </si>
  <si>
    <t>Answer is partly correct but missing details, slightly misleading, or has link issues.</t>
  </si>
  <si>
    <t>FAIL</t>
  </si>
  <si>
    <t>Answer is wrong, confusing, unsafe to use, or points to incorrect data.</t>
  </si>
  <si>
    <t>AGENT TABS</t>
  </si>
  <si>
    <t>Tractor Fitment (100 tests total)</t>
  </si>
  <si>
    <t xml:space="preserve">    • SECTION A: Generic Questions (50 tests)</t>
  </si>
  <si>
    <t xml:space="preserve">    • SECTION B: Prompt-Based Verification (50 tests)</t>
  </si>
  <si>
    <t>Product History (100 tests)</t>
  </si>
  <si>
    <t>Engine History (100 tests)</t>
  </si>
  <si>
    <t>WPP Supervisor (100 tests)</t>
  </si>
  <si>
    <t>Generated for WPP AI Agent Testing Program</t>
  </si>
  <si>
    <t>Tractor Fitment Agent</t>
  </si>
  <si>
    <t>Determine which Cyclone Rake model, hitch, and components are compatible with a customer's tractor.</t>
  </si>
  <si>
    <t>SECTION A: Generic Questions (50 tests)</t>
  </si>
  <si>
    <t>Natural language questions from customers. Evaluate the full response for accuracy and completeness.</t>
  </si>
  <si>
    <t>Examples: What's the setup for a John Deere D140? | Which rake fits my Cub Cadet XT1? | I have a Husqvarna with a 48-inch deck - what do I need?</t>
  </si>
  <si>
    <t>#</t>
  </si>
  <si>
    <t>Date</t>
  </si>
  <si>
    <t>Tester</t>
  </si>
  <si>
    <t>Source</t>
  </si>
  <si>
    <t>Question Asked</t>
  </si>
  <si>
    <t>Agent Response (key points)</t>
  </si>
  <si>
    <t>Result</t>
  </si>
  <si>
    <t>Why Failed / Notes</t>
  </si>
  <si>
    <t>Correct Answer</t>
  </si>
  <si>
    <t>Section Summary</t>
  </si>
  <si>
    <t>Tests Completed:</t>
  </si>
  <si>
    <t>Pass:</t>
  </si>
  <si>
    <t>Partial Fail:</t>
  </si>
  <si>
    <t>Fail:</t>
  </si>
  <si>
    <t>SECTION B: Prompt-Based Verification (50 tests)</t>
  </si>
  <si>
    <t>Use the / command to enter specific make/model/deck. Verify against tractor database that the configuration is correct.</t>
  </si>
  <si>
    <t>Examples: Type / → Select Tractor Fitment → Enter: John Deere / D140 / 48" | Type / → Select Tractor Fitment → Enter: Cub Cadet / XT1 LT46 / 46" | Type / → Select Tractor Fitment → Enter: Husqvarna / YTH24V48 / 48"</t>
  </si>
  <si>
    <t>Tractor Make</t>
  </si>
  <si>
    <t>Tractor Model</t>
  </si>
  <si>
    <t>Deck Size</t>
  </si>
  <si>
    <t>DB Confirms Match?</t>
  </si>
  <si>
    <t>OVERALL SUMMARY</t>
  </si>
  <si>
    <t>Total Tests Completed:</t>
  </si>
  <si>
    <t>Total Pass:</t>
  </si>
  <si>
    <t>Total Partial Fail:</t>
  </si>
  <si>
    <t>Total Fail:</t>
  </si>
  <si>
    <t>Overall Pass Rate:</t>
  </si>
  <si>
    <t>Product History Agent</t>
  </si>
  <si>
    <t>Identify older Cyclone Rake models based on features and provide specs and replacement parts.</t>
  </si>
  <si>
    <t>Example Questions:</t>
  </si>
  <si>
    <t>I have a rake with a black tapered bag and yellow blower - what model is it? | What replacement parts are available for a J-10? | Customer has a unit with a Vanguard 10 HP engine - which model?</t>
  </si>
  <si>
    <t>Generic/Prompt</t>
  </si>
  <si>
    <t>Phone Call</t>
  </si>
  <si>
    <t>What bag do I order for a 102 - Commercial with a Green blower?</t>
  </si>
  <si>
    <t>Teams Chat</t>
  </si>
  <si>
    <t>What band clamp do I need for a 104 - Commercial PRO?</t>
  </si>
  <si>
    <t>Case Notes</t>
  </si>
  <si>
    <t>Does a 102 - Commercial use the same deck hose as the older models?</t>
  </si>
  <si>
    <t>Can I get a power vacuum pickup for a 109 - Commander*?</t>
  </si>
  <si>
    <t>I need a PVP coupling for a 101 - Standard Complete Platinum. Which one is correct?</t>
  </si>
  <si>
    <t>Email</t>
  </si>
  <si>
    <t>What bag do I order for a 111 - XL* with a Yellow blower?</t>
  </si>
  <si>
    <t>Walk-up</t>
  </si>
  <si>
    <t>Does a 103 - PRO use the same deck hose as the older models?</t>
  </si>
  <si>
    <t>What engine does a 103 - PRO with a Green blower normally come with?</t>
  </si>
  <si>
    <t>What are my engine replacement options for a 105 - Classic*?</t>
  </si>
  <si>
    <t>Customer has a Cyclone Rake with a Green blower. What model could it be?</t>
  </si>
  <si>
    <t>I need a PVP coupling for a 102 - Commercial. Which one is correct?</t>
  </si>
  <si>
    <t>What air filter goes on a 102 - Commercial with a Intek 7 HP engine?</t>
  </si>
  <si>
    <t>I bought a used Cyclone Rake with a Straight Black - 300gal bag. Can you help me figure out the model?</t>
  </si>
  <si>
    <t>Can I get a power vacuum pickup for a 104 - Commercial PRO?</t>
  </si>
  <si>
    <t>What size deck hose fits a 102 - Commercial?</t>
  </si>
  <si>
    <t>What hitch kit do I need for a 105 - Classic*?</t>
  </si>
  <si>
    <t>What blower housing do I need for a 103 - PRO?</t>
  </si>
  <si>
    <t>What's the top brace part number for a 104 - Commercial PRO?</t>
  </si>
  <si>
    <t>What's the collector frame part number for a 104 - Commercial PRO?</t>
  </si>
  <si>
    <t>Is there a leaf loader attachment for a 105 - Classic*?</t>
  </si>
  <si>
    <t>What hitch kit do I need for a 102 - Commercial?</t>
  </si>
  <si>
    <t>I have an older Cyclone Rake - Green blower, Tapered Green - 285gal bag, Vanguard 6.5 HP Phase II engine. What model is this?</t>
  </si>
  <si>
    <t>What's the exit chute part number for a 104 - Commercial PRO?</t>
  </si>
  <si>
    <t>I have an older Cyclone Rake - Green blower, Tapered Green - 285gal bag, Vanguard 6.5 HP Cyclonic engine. What model is this?</t>
  </si>
  <si>
    <t>My 103 - PRO has a Vanguard 6.5 HP Cyclonic engine - what air filter do I order?</t>
  </si>
  <si>
    <t>What's the MDA collar part number for a 105 - Classic*?</t>
  </si>
  <si>
    <t>I need a PVP coupling for a 105 - Classic*. Which one is correct?</t>
  </si>
  <si>
    <t>Is there a leaf loader attachment for a 107 - Commercial Pro 8" Jetpath?</t>
  </si>
  <si>
    <t>Do you sell side tubes for a 104 - Commercial PRO? Single or set of 2?</t>
  </si>
  <si>
    <t>Can I get a replacement chassis for a 104 - Commercial PRO?</t>
  </si>
  <si>
    <t>What hitch kit do I need for a 107 - Commercial Pro 8" Jetpath?</t>
  </si>
  <si>
    <t>What wheel kit fits a 102 - Commercial?</t>
  </si>
  <si>
    <t>I need a new impeller for my 101 - Standard Complete Platinum with a Vanguard 6.5 HP Cyclonic engine. What fits?</t>
  </si>
  <si>
    <t>What's the exit chute part number for a 102 - Commercial?</t>
  </si>
  <si>
    <t>What size deck hose fits a 101 - Standard Complete Platinum?</t>
  </si>
  <si>
    <t>I need the blower gasket set for a 110 - Commercial Pro*. Part number?</t>
  </si>
  <si>
    <t>Customer has a Straight Green - 200gal bag with Green blower - can you identify the model?</t>
  </si>
  <si>
    <t>What's the top brace part number for a 102 - Commercial?</t>
  </si>
  <si>
    <t>Is there a leaf loader attachment for a 102 - Commercial?</t>
  </si>
  <si>
    <t>What wheel kit fits a 104 - Commercial PRO?</t>
  </si>
  <si>
    <t>What's the collector frame part number for a 111 - XL*?</t>
  </si>
  <si>
    <t>What blower rebuild kit fits a 111 - XL*?</t>
  </si>
  <si>
    <t>What's the exit chute part number for a 106 - Commander Pro?</t>
  </si>
  <si>
    <t>My 101 - Standard Complete Platinum has a Tecumseh 5 HP engine - what air filter do I order?</t>
  </si>
  <si>
    <t>Does the Power Unloader work with a 106 - Commander Pro?</t>
  </si>
  <si>
    <t>Is there a roof rack carrier that fits a 101 - Standard Complete Platinum?</t>
  </si>
  <si>
    <t>What air filter goes on a 101 - Standard Complete Platinum with a XR 950 engine?</t>
  </si>
  <si>
    <t>Does a 101 - Standard Complete Platinum use the same deck hose as the older models?</t>
  </si>
  <si>
    <t>What's the correct belt for a 102 - Commercial with a XR 950 engine?</t>
  </si>
  <si>
    <t>Can I add an Estate Vac pickup to a 102 - Commercial?</t>
  </si>
  <si>
    <t>Prompt Test</t>
  </si>
  <si>
    <t>/ → Product History: Identify Model → Bag Color: Green, Bag Shape: Straight, Blower: Green, Engine: Tecumseh 5 HP</t>
  </si>
  <si>
    <t>/ → Product History: Identify Model → Bag Color: Green, Bag Shape: Straight, Blower: Green, Engine: Intek 6 HP</t>
  </si>
  <si>
    <t>/ → Product History: Identify Model → Bag Color: Green, Bag Shape: Straight, Blower: Green, Engine: Vanguard 6.5 HP Phase I</t>
  </si>
  <si>
    <t>/ → Product History: Identify Model → Bag Color: Green, Bag Shape: Straight, Blower: Green, Engine: Vanguard 6.5 HP Phase II</t>
  </si>
  <si>
    <t>/ → Product History: Identify Model → Bag Color: Green, Bag Shape: Straight, Blower: Green, Engine: XR 950</t>
  </si>
  <si>
    <t>/ → Product History: Identify Model → Bag Color: Green, Bag Shape: Straight, Blower: Green, Engine: Vanguard 6.5 HP Cyclonic</t>
  </si>
  <si>
    <t>/ → Product History: Identify Model → Bag Color: Green, Bag Shape: Tapered, Blower: Green, Engine: Tecumseh 5 HP</t>
  </si>
  <si>
    <t>/ → Product History: Identify Model → Bag Color: Green, Bag Shape: Tapered, Blower: Green, Engine: Intek 6 HP</t>
  </si>
  <si>
    <t>/ → Product History: Identify Model → Bag Color: Green, Bag Shape: Tapered, Blower: Green, Engine: Vanguard 6.5 HP Phase I</t>
  </si>
  <si>
    <t>/ → Product History: Identify Model → Bag Color: Green, Bag Shape: Tapered, Blower: Green, Engine: Vanguard 6.5 HP Phase II</t>
  </si>
  <si>
    <t>/ → Product History: Identify Model → Bag Color: Green, Bag Shape: Tapered, Blower: Green, Engine: XR 950</t>
  </si>
  <si>
    <t>/ → Product History: Identify Model → Bag Color: Green, Bag Shape: Tapered, Blower: Green, Engine: Vanguard 6.5 HP Cyclonic</t>
  </si>
  <si>
    <t>/ → Product History: Identify Model → Bag Color: Black, Bag Shape: Straight, Blower: Green, Engine: Tecumseh 6 HP</t>
  </si>
  <si>
    <t>/ → Product History: Identify Model → Bag Color: Black, Bag Shape: Straight, Blower: Green, Engine: Intek 7 HP</t>
  </si>
  <si>
    <t>/ → Product History: Identify Model → Bag Color: Black, Bag Shape: Straight, Blower: Green, Engine: Vanguard 6.5 HP Phase I</t>
  </si>
  <si>
    <t>/ → Product History: Identify Model → Bag Color: Black, Bag Shape: Straight, Blower: Green, Engine: Vanguard 6.5 HP Phase II</t>
  </si>
  <si>
    <t>/ → Product History: Identify Model → Bag Color: Black, Bag Shape: Straight, Blower: Green, Engine: XR 950</t>
  </si>
  <si>
    <t>/ → Product History: Identify Model → Bag Color: Black, Bag Shape: Straight, Blower: Green, Engine: Vanguard 6.5 HP Cyclonic</t>
  </si>
  <si>
    <t>/ → Product History: Identify Model → Bag Color: Black, Bag Shape: Tapered, Blower: Green, Engine: Tecumseh 6 HP</t>
  </si>
  <si>
    <t>/ → Product History: Identify Model → Bag Color: Black, Bag Shape: Tapered, Blower: Green, Engine: Intek 7 HP</t>
  </si>
  <si>
    <t>/ → Product History: Identify Model → Bag Color: Black, Bag Shape: Tapered, Blower: Green, Engine: Vanguard 6.5 HP Phase I</t>
  </si>
  <si>
    <t>/ → Product History: Identify Model → Bag Color: Black, Bag Shape: Tapered, Blower: Green, Engine: Vanguard 6.5 HP Phase II</t>
  </si>
  <si>
    <t>/ → Product History: Identify Model → Bag Color: Black, Bag Shape: Tapered, Blower: Green, Engine: XR 950</t>
  </si>
  <si>
    <t>/ → Product History: Identify Model → Bag Color: Black, Bag Shape: Tapered, Blower: Green, Engine: Vanguard 6.5 HP Cyclonic</t>
  </si>
  <si>
    <t>/ → Product History: Identify Model → Bag Color: Black, Bag Shape: Tapered, Blower: Yellow, Engine: Vanguard 9 HP Phase I</t>
  </si>
  <si>
    <t>/ → Product History: Identify Model → Bag Color: Black, Bag Shape: Tapered, Blower: Yellow, Engine: Vanguard 8 HP</t>
  </si>
  <si>
    <t>/ → Product History: Identify Model → Bag Color: Black, Bag Shape: Tapered, Blower: Yellow, Engine: Vanguard E-Start 8 HP</t>
  </si>
  <si>
    <t>/ → Product History: Identify Model → Bag Color: Black, Bag Shape: Tapered, Blower: Yellow, Engine: Vanguard 10 HP</t>
  </si>
  <si>
    <t>/ → Product History: Identify Model → Bag Color: Black, Bag Shape: Tapered, Blower: Yellow, Engine: Vanguard E-Start 10 HP</t>
  </si>
  <si>
    <t xml:space="preserve">/ → Product History: Identify Model → Bag Color: Green, Bag Shape: , Blower: Green, Engine: </t>
  </si>
  <si>
    <t xml:space="preserve">/ → Product History: Identify Model → Bag Color: Green, Bag Shape: Tapered, Blower: Green, Engine: </t>
  </si>
  <si>
    <t>/ → Product History: Identify Model → Bag Color: Green, Bag Shape: , Blower: , Engine: Intek 6 HP</t>
  </si>
  <si>
    <t>/ → Product History: Identify Model → Bag Color: Green, Bag Shape: , Blower: , Engine: XR 950</t>
  </si>
  <si>
    <t>/ → Product History: Identify Model → Bag Color: Black, Bag Shape: , Blower: , Engine: Vanguard E-Start 10 HP</t>
  </si>
  <si>
    <t xml:space="preserve">/ → Product History: Identify Model → Bag Color: Black, Bag Shape: , Blower: Green, Engine: </t>
  </si>
  <si>
    <t xml:space="preserve">/ → Product History: Identify Model → Bag Color: Green, Bag Shape: Tapered, Blower: , Engine: </t>
  </si>
  <si>
    <t xml:space="preserve">/ → Product History: Identify Model → Bag Color: , Bag Shape: Tapered, Blower: Green, Engine: </t>
  </si>
  <si>
    <t xml:space="preserve">/ → Product History: Identify Model → Bag Color: Black, Bag Shape: , Blower: Yellow, Engine: </t>
  </si>
  <si>
    <t xml:space="preserve">/ → Product History: Identify Model → Bag Color: Green, Bag Shape: Straight, Blower: Green, Engine: </t>
  </si>
  <si>
    <t xml:space="preserve">/ → Product History: Identify Model → Bag Color: Black, Bag Shape: Straight, Blower: Green, Engine: </t>
  </si>
  <si>
    <t>/ → Product History: Identify Model → Bag Color: Black, Bag Shape: , Blower: , Engine: XR 950</t>
  </si>
  <si>
    <t>/ → Product History: Identify Model → Bag Color: , Bag Shape: , Blower: Green, Engine: Vanguard 6.5 HP Phase II</t>
  </si>
  <si>
    <t>/ → Product History: Identify Model → Bag Color: Green, Bag Shape: , Blower: , Engine: Vanguard 6.5 HP Phase I</t>
  </si>
  <si>
    <t xml:space="preserve">/ → Product History: Identify Model → Bag Color: Black, Bag Shape: Tapered, Blower: Green, Engine: </t>
  </si>
  <si>
    <t xml:space="preserve">/ → Product History: Identify Model → Bag Color: Black, Bag Shape: Straight, Blower: , Engine: </t>
  </si>
  <si>
    <t xml:space="preserve">/ → Product History: Identify Model → Bag Color: Black, Bag Shape: Tapered, Blower: , Engine: </t>
  </si>
  <si>
    <t xml:space="preserve">/ → Product History: Identify Model → Bag Color: Green, Bag Shape: Straight, Blower: , Engine: </t>
  </si>
  <si>
    <t>/ → Product History: Identify Model → Bag Color: Black, Bag Shape: , Blower: , Engine: Vanguard 6.5 HP Phase II</t>
  </si>
  <si>
    <t>/ → Product History: Identify Model → Bag Color: Green, Bag Shape: , Blower: , Engine: Tecumseh 5 HP</t>
  </si>
  <si>
    <t>/ → Product History: Identify Model → Bag Color: Black, Bag Shape: , Blower: , Engine: Vanguard 6.5 HP Cyclonic</t>
  </si>
  <si>
    <t>SUMMARY</t>
  </si>
  <si>
    <t>Total Tests:</t>
  </si>
  <si>
    <t>Pass Rate:</t>
  </si>
  <si>
    <t>Engine History Agent</t>
  </si>
  <si>
    <t>Identify engines based on model, brand, and features; provide specs and retrofit kits.</t>
  </si>
  <si>
    <t>What is the filter shape for a Vanguard 6.5 HP Phase I engine? | What are the specs for engine code 12H332-0114-B8? | Is there a retrofit kit for the Briggs 10 HP on a 102-commercial?</t>
  </si>
  <si>
    <t>What rake models use the Vanguard 6.5 HP Phase II?</t>
  </si>
  <si>
    <t>What oil filter does a Vanguard 6.5 HP Cyclonic take?</t>
  </si>
  <si>
    <t>I have a Vanguard 6.5 HP Phase I on my 101 - Standard Complete Platinum. What's the EMK part number?</t>
  </si>
  <si>
    <t>Customer has a 105 - Classic* from Sept 2007 - Sept 2010. What engine does it have?</t>
  </si>
  <si>
    <t>My 111 - XL needs a new Vanguard 9 HP Phase I. What's the replacement?</t>
  </si>
  <si>
    <t>What deck hose size goes with the Vanguard 9 HP Phase I on a 111 - XL?</t>
  </si>
  <si>
    <t>What year did they switch from the Intek 6 HP to the newer engines?</t>
  </si>
  <si>
    <t>Is the XR 950 still available or has it been discontinued?</t>
  </si>
  <si>
    <t>Customer has a 102 - Commercial from Sept 2007 - Sept 2010. What engine does it have?</t>
  </si>
  <si>
    <t>What's the torque rating on the Intek 6 HP?</t>
  </si>
  <si>
    <t>Customer has a 6HP engine with a Flat Square filter on a 105 - Classic*. Can you identify it?</t>
  </si>
  <si>
    <t>What's the torque rating on the Vanguard 6.5 HP Cyclonic?</t>
  </si>
  <si>
    <t>What filter shape does the Vanguard 6.5 HP Phase II use?</t>
  </si>
  <si>
    <t>What year did they switch from the Vanguard 6.5 HP Phase I to the newer engines?</t>
  </si>
  <si>
    <t>Customer has a 6HP engine with a Flat Square filter on a 101 - Standard Complete Platinum. Can you identify it?</t>
  </si>
  <si>
    <t>I have a 110 - Commercial Pro* and the engine is a Vanguard 6.5 HP Phase II. When was this combination sold?</t>
  </si>
  <si>
    <t>What's the difference between Phase I and Phase II Vanguard engines?</t>
  </si>
  <si>
    <t>I have a Vanguard 6.5 HP Phase I on my 109 - Commander*. What's the EMK part number?</t>
  </si>
  <si>
    <t>What's the horsepower on the Vanguard 6.5 HP Phase I?</t>
  </si>
  <si>
    <t>I have a 107 - Commercial Pro 8" Jetpath and the engine is a Intek 7 HP. When was this combination sold?</t>
  </si>
  <si>
    <t>What deck hose size goes with the XR 950 on a 103 - PRO?</t>
  </si>
  <si>
    <t>I need specs for the Tecumseh 5 HP engine.</t>
  </si>
  <si>
    <t>What filter shape does the XR 950 use?</t>
  </si>
  <si>
    <t>I have a XR 950 on my 109 - Commander*. What's the EMK part number?</t>
  </si>
  <si>
    <t>Customer's 109 - Commander* has a 6.5HP engine. What's the air filter part number?</t>
  </si>
  <si>
    <t>Customer has a 6HP engine on their Cyclone Rake. What air filter shape should it have?</t>
  </si>
  <si>
    <t>Is there a retrofit kit for the Vanguard 6.5 HP Phase II on a 106 - Commander Pro?</t>
  </si>
  <si>
    <t>I need a spark plug for a XR 950. What's the part number?</t>
  </si>
  <si>
    <t>Is there a retrofit kit for the Vanguard 6.5 HP Cyclonic on a 110 - Commercial Pro*?</t>
  </si>
  <si>
    <t>Customer says their engine is about 8HP and has a Canister filter. What engine is it?</t>
  </si>
  <si>
    <t>I have a 101 - Standard Complete Platinum and the engine is a Tecumseh 5 HP. When was this combination sold?</t>
  </si>
  <si>
    <t>Is the Vanguard 6.5 HP Phase II still available or has it been discontinued?</t>
  </si>
  <si>
    <t>What's the horsepower on the Intek 7 HP?</t>
  </si>
  <si>
    <t>Customer's Cyclone Rake has a Green blower. What engine options were available?</t>
  </si>
  <si>
    <t>Customer has a 6.5HP engine with a Canister filter on a 101 - Standard Complete Platinum. Can you identify it?</t>
  </si>
  <si>
    <t>What deck hose size goes with the Vanguard 6.5 HP Cyclonic on a 110 - Commercial Pro*?</t>
  </si>
  <si>
    <t>Customer says their engine is about 6.5HP and has a Cyclonic filter. What engine is it?</t>
  </si>
  <si>
    <t>Customer's unit has a Canister air filter. What engine options could that be?</t>
  </si>
  <si>
    <t>I need the engine maintenance kit for a Intek 6 HP.</t>
  </si>
  <si>
    <t>What's the horsepower on the Vanguard E-Start 10 HP?</t>
  </si>
  <si>
    <t>What deck hose size goes with the Tecumseh 5 HP on a 101 - Standard Complete Platinum?</t>
  </si>
  <si>
    <t>What's the horsepower on the Vanguard 6.5 HP Cyclonic?</t>
  </si>
  <si>
    <t>I need specs for the Vanguard 9 HP Phase I engine.</t>
  </si>
  <si>
    <t>What rake models use the Vanguard 6.5 HP Cyclonic?</t>
  </si>
  <si>
    <t>What filter shape does the Tecumseh 5 HP use?</t>
  </si>
  <si>
    <t>Customer has a 6.5HP engine on their Cyclone Rake. What air filter shape should it have?</t>
  </si>
  <si>
    <t>Customer has a 109 - Commander* from Fall 2019 - Current. What engine does it have?</t>
  </si>
  <si>
    <t>My 101 - Standard Complete Platinum needs a new Vanguard 6.5 HP Cyclonic. What's the replacement?</t>
  </si>
  <si>
    <t>Customer's 101 - Standard Complete Platinum has a 9.5ft/lb Torque engine. What's the air filter part number?</t>
  </si>
  <si>
    <t>Customer has a Green blower with a Canister filter. What engine is that?</t>
  </si>
  <si>
    <t>/ → Engine History: Identify Engine → Rake: 105 - Classic*, Brand: Vanguard, HP: 6.5HP, Filter: Canister</t>
  </si>
  <si>
    <t>/ → Engine History: Identify Engine → Rake: 105 - Classic*, Brand: Vanguard, HP: 6.5HP, Filter: Flat Square</t>
  </si>
  <si>
    <t>/ → Engine History: Identify Engine → Rake: 107 - Commercial Pro 8" Jetpath, Brand: Vanguard, HP: 6.5HP, Filter: Cyclonic</t>
  </si>
  <si>
    <t>/ → Engine History: Identify Engine → Rake: 107 - Commercial Pro 8" Jetpath, Brand: Vanguard, HP: 6.5HP, Filter: Flat Square</t>
  </si>
  <si>
    <t>/ → Engine History: Identify Engine → Rake: 106 - Commander Pro, Brand: Vanguard, HP: 6.5HP, Filter: Cyclonic</t>
  </si>
  <si>
    <t>/ → Engine History: Identify Engine → Rake: 102 - Commercial, Brand: Intek, HP: 7HP, Filter: Flat Square</t>
  </si>
  <si>
    <t>/ → Engine History: Identify Engine → Rake: 133 - CRS XL, Brand: Vanguard, HP: 8HP, Filter: Canister</t>
  </si>
  <si>
    <t>/ → Engine History: Identify Engine → Rake: 110 - Commercial Pro*, Brand: XR, HP: 9.5ft/lb Torque, Filter: Canister</t>
  </si>
  <si>
    <t>/ → Engine History: Identify Engine → Rake: 110 - Commercial Pro*, Brand: Vanguard, HP: 6.5HP, Filter: Canister</t>
  </si>
  <si>
    <t>/ → Engine History: Identify Engine → Rake: 103 - PRO, Brand: Vanguard, HP: 6.5HP, Filter: Cyclonic</t>
  </si>
  <si>
    <t>/ → Engine History: Identify Engine → Rake: 111 - XL, Brand: Vanguard, HP: 9HP, Filter: Flat Square</t>
  </si>
  <si>
    <t>/ → Engine History: Identify Engine → Rake: 101 - Standard Complete Platinum, Brand: Vanguard, HP: 6.5HP, Filter: Flat Square</t>
  </si>
  <si>
    <t>/ → Engine History: Identify Engine → Rake: 102 - Commercial, Brand: Vanguard, HP: 6.5HP, Filter: Flat Square</t>
  </si>
  <si>
    <t>/ → Engine History: Identify Engine → Rake: 103 - PRO, Brand: Vanguard, HP: 6.5HP, Filter: Flat Square</t>
  </si>
  <si>
    <t>/ → Engine History: Identify Engine → Rake: 102 - Commercial, Brand: Tecumseh, HP: 6HP, Filter: Flat Square</t>
  </si>
  <si>
    <t>/ → Engine History: Identify Engine → Rake: 104 - Commercial PRO, Brand: Vanguard, HP: 6.5HP, Filter: Canister</t>
  </si>
  <si>
    <t>/ → Engine History: Identify Engine → Rake: 111 - XL, Brand: Vanguard, HP: 8HP, Filter: Canister</t>
  </si>
  <si>
    <t>/ → Engine History: Identify Engine → Rake: 110 - Commercial Pro*, Brand: Vanguard, HP: 6.5HP, Filter: Flat Square</t>
  </si>
  <si>
    <t>/ → Engine History: Identify Engine → Rake: 109 - Commander*, Brand: Vanguard, HP: 6.5HP, Filter: Cyclonic</t>
  </si>
  <si>
    <t>/ → Engine History: Identify Engine → Rake: 107 - Commercial Pro 8" Jetpath, Brand: Vanguard, HP: 6.5HP, Filter: Canister</t>
  </si>
  <si>
    <t>/ → Engine History: Identify Engine → Rake: 101 - Standard Complete Platinum, Brand: Intek, HP: 6HP, Filter: Flat Square</t>
  </si>
  <si>
    <t>/ → Engine History: Identify Engine → Rake: 104 - Commercial PRO, Brand: XR, HP: 9.5ft/lb Torque, Filter: Canister</t>
  </si>
  <si>
    <t>/ → Engine History: Identify Engine → Rake: 106 - Commander Pro, Brand: Vanguard, HP: 6.5HP, Filter: Flat Square</t>
  </si>
  <si>
    <t>/ → Engine History: Identify Engine → Rake: 104 - Commercial PRO, Brand: Vanguard, HP: 6.5HP, Filter: Flat Square</t>
  </si>
  <si>
    <t>/ → Engine History: Identify Engine → Rake: 112 - Z-10, Brand: Vanguard, HP: 10HP, Filter: Canister</t>
  </si>
  <si>
    <t>/ → Engine History: Identify Engine → Rake: 103 - PRO, Brand: XR, HP: 9.5ft/lb Torque, Filter: Canister</t>
  </si>
  <si>
    <t>/ → Engine History: Identify Engine → Rake: 102 - Commercial, Brand: Vanguard, HP: 6.5HP, Filter: Canister</t>
  </si>
  <si>
    <t>/ → Engine History: Identify Engine → Rake: 109 - Commander*, Brand: Vanguard, HP: 6.5HP, Filter: Canister</t>
  </si>
  <si>
    <t>/ → Engine History: Identify Engine → Rake: 105 - Classic*, Brand: Intek, HP: 6HP, Filter: Flat Square</t>
  </si>
  <si>
    <t>/ → Engine History: Identify Engine → Rake: 105 - Classic*, Brand: Vanguard, HP: 6.5HP, Filter: Cyclonic</t>
  </si>
  <si>
    <t>/ → Engine History: Identify Engine → Rake: 106 - Commander Pro, Brand: XR, HP: 9.5ft/lb Torque, Filter: Canister</t>
  </si>
  <si>
    <t>/ → Engine History: Identify Engine → Rake: 109 - Commander*, Brand: XR, HP: 9.5ft/lb Torque, Filter: Canister</t>
  </si>
  <si>
    <t>/ → Engine History: Identify Engine → Rake: 104 - Commercial PRO, Brand: Intek, HP: 7HP, Filter: Flat Square</t>
  </si>
  <si>
    <t>/ → Engine History: Identify Engine → Rake: 109 - Commander*, Brand: Vanguard, HP: 6.5HP, Filter: Flat Square</t>
  </si>
  <si>
    <t>/ → Engine History: Identify Engine → Rake: 101 - Standard Complete Platinum, Brand: Vanguard, HP: 6.5HP, Filter: Cyclonic</t>
  </si>
  <si>
    <t>/ → Engine History: Identify Engine → Rake: 102 - Commercial, Brand: Vanguard, HP: 6.5HP, Filter: Cyclonic</t>
  </si>
  <si>
    <t>/ → Engine History: Identify Engine → Rake: 101 - Standard Complete Platinum, Brand: XR, HP: 9.5ft/lb Torque, Filter: Canister</t>
  </si>
  <si>
    <t>/ → Engine History: Identify Engine → Rake: 131 - CRS Commander, Brand: Vanguard, HP: 6.5HP, Filter: Cyclonic</t>
  </si>
  <si>
    <t>/ → Engine History: Identify Engine → Rake: 103 - PRO, Brand: Vanguard, HP: 6.5HP, Filter: Canister</t>
  </si>
  <si>
    <t>/ → Engine History: Identify Engine → Rake: 131 - CRS Commander, Brand: XR, HP: 9.5ft/lb Torque, Filter: Canister</t>
  </si>
  <si>
    <t>/ → Engine History: Identify Engine → Rake: 110 - Commercial Pro*, Brand: Vanguard, HP: 6.5HP, Filter: Cyclonic</t>
  </si>
  <si>
    <t>/ → Engine History: Identify Engine → Rake: 101 - Standard Complete Platinum, Brand: Tecumseh, HP: 5HP, Filter: Flat Square</t>
  </si>
  <si>
    <t>/ → Engine History: Identify Engine → Rake: 107 - Commercial Pro 8" Jetpath, Brand: XR, HP: 9.5ft/lb Torque, Filter: Canister</t>
  </si>
  <si>
    <t>/ → Engine History: Identify Engine → Rake: 106 - Commander Pro, Brand: Vanguard, HP: 6.5HP, Filter: Canister</t>
  </si>
  <si>
    <t>/ → Engine History: Identify Engine → Rake: 101 - Standard Complete Platinum, Brand: Vanguard, HP: 6.5HP, Filter: Canister</t>
  </si>
  <si>
    <t>/ → Engine History: Identify Engine → Rake: 107 - Commercial Pro 8" Jetpath, Brand: Intek, HP: 7HP, Filter: Flat Square</t>
  </si>
  <si>
    <t>/ → Engine History: Identify Engine → Rake: 102 - Commercial, Brand: XR, HP: 9.5ft/lb Torque, Filter: Canister</t>
  </si>
  <si>
    <t>/ → Engine History: Identify Engine → Rake: 106 - Commander Pro, Brand: Intek, HP: 6HP, Filter: Flat Square</t>
  </si>
  <si>
    <t>/ → Engine History: Identify Engine → Rake: 104 - Commercial PRO, Brand: Vanguard, HP: 6.5HP, Filter: Cyclonic</t>
  </si>
  <si>
    <t>/ → Engine History: Identify Engine → Rake: 105 - Classic*, Brand: XR, HP: 9.5ft/lb Torque, Filter: Canister</t>
  </si>
  <si>
    <t>WPP Supervisor Agent</t>
  </si>
  <si>
    <t>Route complex or multi-part customer inquiries to the appropriate specialist agents.</t>
  </si>
  <si>
    <t>I have a John Deere 102 and need a new air filter but don't know which engine I have. | Customer wants to know if their old rake fits their new tractor and needs replacement bags. | What rake fits my tractor and what parts do I need for my current unit?</t>
  </si>
  <si>
    <t>Where can I find a signed W-9 for a customer?</t>
  </si>
  <si>
    <t>The interaction successfully identified the unit as a Cyclone Rake 102 and correctly confirmed the replacement bag part number as 04-03-303 based on physical attributes and engine details; however, the response failed the part requirement because it did not include a direct purchase link for the bag, which is necessary to complete a one-step resolution for ordering.</t>
  </si>
  <si>
    <t>This failed because, although the correct replacement bag part number (04-03-303) was identified, the response stopped short of guiding the customer through the actual purchase. No direct purchase link or clear ordering path was provided, which creates friction and forces the customer to take extra steps instead of resolving the request in one interaction.</t>
  </si>
  <si>
    <t xml:space="preserve">Part number along with the purchase link for the replacement part </t>
  </si>
  <si>
    <t>This failed because, while the correct band clamp part number (01-02-023) was accurately identified for the Cyclone Rake 104 Commercial PRO, the response did not include a direct purchase link or clear next step to order the part, which breaks the one-stop resolution expectation and leaves the customer needing additional effort to complete the purchase.</t>
  </si>
  <si>
    <t>The agent walked the customer through a step-by-step identification process using collector bag color, bag shape, blower housing color, intake diameter, and engine type, correctly identified the unit as a Cyclone Rake 104 Commercial PRO with high confidence, and provided the correct band clamp part number (01-02-023) along with other compatible replacement parts for that configuration.</t>
  </si>
  <si>
    <t>The agent quickly clarified the model in question, confirmed the customer was referring to a Cyclone Rake 102, and accurately answered that the 102 Commercial uses the same 7-inch deck hose as the older models, providing a clear and correct resolution without unnecessary troubleshooting.</t>
  </si>
  <si>
    <t>Confimred it’s the same size deck hose</t>
  </si>
  <si>
    <t>This failed because the agent unnecessarily ran a full model-identification workflow and ultimately blocked the interaction with low confidence, even though a power vacuum pickup availability question for a 109 Commander does not require that level of verification; the conversation stalled without clearly answering whether a power vacuum pickup is compatible or available for the model, resulting in no definitive resolution and requiring human review instead of providing a direct, confident answer or clear next steps.</t>
  </si>
  <si>
    <t>The agent verified the collector bag color, bag shape, blower housing color, blower intake diameter, and engine type, but even after those checks were completed, the agent was unable to confidently match the configuration in the system and therefore could not provide the correct power vacuum pickup part number, leaving the request unresolved.</t>
  </si>
  <si>
    <t>o resolve this query, the correct PVP part number and purchase information should have been provided.”</t>
  </si>
  <si>
    <t>The agent redirected the customer to a different parts resource instead of immediately assisting, then proceeded to ask multiple physical identification questions including bag color, bag shape, blower color, intake diameter, and engine horsepower, ran a model verification process, and ultimately returned a blocked status with low confidence rather than providing a replacement bag part number.</t>
  </si>
  <si>
    <t>The customer clearly provided the model as 111 – XL at the beginning, which should have eliminated the need for further identification steps; the agent ignored the explicit model information, initiated unnecessary verification, created avoidable conflicts in the system, and failed to provide the correct bag part number, resulting in no resolution.</t>
  </si>
  <si>
    <t>Confirm that the 111 – XL model uses the appropriate tapered black collector bag designed specifically for the XL configuration and provide the correct replacement bag part number along with a direct purchase link to complete the request in one step.</t>
  </si>
  <si>
    <t>The agent redirected the customer to another parts resource instead of answering the compatibility question, initiated a full model identification process by asking for bag color, shape, blower color, and intake size, confirmed the unit as a Cyclone Rake 103 with high confidence, and then provided several unrelated replacement part numbers without directly addressing the original deck hose compatibility question.</t>
  </si>
  <si>
    <t>The customer clearly stated the model as 103 – PRO and asked a compatibility question about deck hose size compared to older models (101 and 102); instead of directly confirming whether the 103 uses the same hose size, the agent unnecessarily performed model identification, failed to answer the actual question about hose compatibility, and supplied unrelated part numbers, resulting in a missed and incomplete resolution.</t>
  </si>
  <si>
    <t>Confirm that the Cyclone Rake 103 – PRO uses a 7-inch deck hose and clarify whether that size matches the deck hose used on older 101 and 102 models, directly answering the compatibility question without initiating model identification.</t>
  </si>
  <si>
    <t>What is the CC's of an 8 HP engine?</t>
  </si>
  <si>
    <t>Do We Sell Something To Help Dump The Collector?</t>
  </si>
  <si>
    <t>What are my shipping options for a new Cyclone Rake?</t>
  </si>
  <si>
    <t>Do you sell a Z-10 bundle?</t>
  </si>
  <si>
    <t>he agent redirected initially, then initiated a full model identification process by confirming bag color, bag shape, blower color, and intake diameter, locked in the model as a Cyclone Rake 103, and stated that the unit typically comes with an XR 950 engine.</t>
  </si>
  <si>
    <t>The customer specifically asked about a 103 – PRO with a green blower, which refers to the 2005–2006 configuration that normally comes with a Briggs INTEK 6.0 HP engine; instead, the agent identified it generically as a 103 and incorrectly stated the engine as XR 950, which applies to a different production period, resulting in inaccurate historical engine information even after completing model verification.</t>
  </si>
  <si>
    <t>The 103 – PRO (2005–2006) with a green blower normally comes equipped with a Briggs INTEK 6.0 HP engine.</t>
  </si>
  <si>
    <t>The agent redirected initially, then conducted a full model identification by confirming bag color, shape, blower color, and intake size, locked in the unit as a 105 Classic, stated that it typically comes with an XR 950 engine, and provided a single replacement engine option (XR 950) listed twice.</t>
  </si>
  <si>
    <t>The response provided incomplete and partially inaccurate engine history. The 105 Classic originally came equipped (Sept 2006 – August 2007) with a Briggs INTEK 6.0 HP engine, which was not mentioned. In addition, the agent failed to provide the Vanguard 6.5 HP Cyclonic replacement option (01-04-307) and did not reference available upgrade kit options. Instead, it only listed the XR 950 replacement, limiting the customer’s understanding of all compatible engine replacement paths.</t>
  </si>
  <si>
    <t>The 105 Classic originally came with a Briggs INTEK 6.0 HP engine (Sept 2006 – August 2007). Replacement options include the XR 950 engine as well as the Vanguard 6.5 HP Cyclonic engine (01-04-307), along with applicable upgrade kits depending on the current configuration.</t>
  </si>
  <si>
    <t>The agent redirected to a catalog resource and requested bag color and shape details instead of answering the general model question, repeating the same prompt even after its indicated no additional bag information was available.</t>
  </si>
  <si>
    <t>The customer asked a broad identification question about which models could have a green blower housing. Rather than listing possible models or explaining that multiple models were manufactured with green blowers, the agent stalled by requesting additional details and did not provide any potential model range. This resulted in no informative answer to the actual question.</t>
  </si>
  <si>
    <t>A green blower housing was used on multiple Cyclone Rake models across different production years, including models such as the 101, 102, 103, 104, 105, 109, and others depending on configuration and phase. Additional details like bag color and shape, intake size (7-inch or 8-inch), and engine type are needed to narrow it down to a specific model.</t>
  </si>
  <si>
    <t>The agent asked structured identification questions (bag color, bag shape, blower color, intake size), correctly locked in the model as a Cyclone Rake 102 Commercial with high confidence, and provided the correct PVP coupling part number (01-01-721), along with additional related replacement part numbers for that configuration.</t>
  </si>
  <si>
    <t>The correct model was identified and the correct PVP coupling part number (01-01-721) was provided, successfully answering the customer’s question. However, the response included unrelated replacement part numbers and did not provide a direct purchase link, which slightly reduced clarity and one-step resolution quality but did not prevent a correct outcome.</t>
  </si>
  <si>
    <t>The correct PVP coupling for a Cyclone Rake 102 Commercial is part number 01-01-721, and a direct purchase link should be provided to complete the transaction in one step.</t>
  </si>
  <si>
    <t>The agent confirmed identifying details including bag color, bag shape, blower color, intake size, and engine specification, accurately locked in the model as a Cyclone Rake 102 Commercial (Jan 2005 – Sept 2005) with a Briggs INTEK 7.0 HP engine, and provided the correct air filter part number (01-01-753), while also listing additional replacement parts for the unit.</t>
  </si>
  <si>
    <t>The correct model was identified and the correct square pleated paper air filter (SKU: 01-01-753) was provided, which fits Intek and Vanguard engines that use square filters. However, the response included unrelated parts, did not clearly highlight the requested air filter as the primary answer, and did not provide a direct purchase link, slightly reducing clarity and one-step resolution quality.</t>
  </si>
  <si>
    <t>The correct air filter for a 102 Commercial with a Briggs INTEK 7.0 HP engine is the Square Pleated Paper Air Filter, SKU 01-01-753, and a direct purchase link should be included to complete the order in one step.</t>
  </si>
  <si>
    <t>The agent began a model identification process by asking about blower housing color, repeated clarification questions about bag color and shape, and after the customer stated that a straight black 300-gallon bag corresponds to a 102, the system locked in the model as a Cyclone Rake 102 Commercial and provided related replacement parts.</t>
  </si>
  <si>
    <t>The customer already provided a key identifying detail—Straight Black 300-gallon bag—which uniquely corresponds to the 102 model. Instead of immediately confirming the model based on that distinctive configuration, the agent continued asking identification questions, creating unnecessary friction. The model could have been confidently confirmed without additional verification steps.</t>
  </si>
  <si>
    <t>A Cyclone Rake with a Straight Black 300-gallon collector bag corresponds to the Cyclone Rake 102 Commercial model.</t>
  </si>
  <si>
    <t>The agent initiated model identification, confirmed the unit as a Cyclone Rake 104 Commercial PRO with high confidence using engine, bag, blower color, and intake size details, and provided the PVP coupling part number (01-01-721) along with several unrelated replacement parts.</t>
  </si>
  <si>
    <t>The customer specifically asked about obtaining a power vacuum pickup, but the agent only provided the PVP coupling and did not list the actual Power Vacuum Pickup kit options compatible with the unit. It failed to provide the correct PVP kit part numbers (023a – Part #201, Power Vacuum Pickup – Classic with 6" PVC hose, and 023b – Part #214, Power Vacuum Pickup – Classic with 6" Urethane hose). As a result, the response did not directly answer the question and did not present the correct purchasable PVP product options.</t>
  </si>
  <si>
    <t>Yes, a Power Vacuum Pickup is available for the 104 Commercial PRO. The correct options are Part #201 (Power Vacuum Pickup – Classic with 6" PVC hose) or Part #214 (Power Vacuum Pickup – Classic with 6" Urethane hose), depending on hose preference.</t>
  </si>
  <si>
    <t>The agent gathered identifying details including bag shape, bag color, blower color, and engine production range, correctly confirmed the unit as a Cyclone Rake 102 Commercial (covering both Tecumseh 6.0 HP and Briggs INTEK 7.0 HP production periods), and accurately stated that the deck hose size is 7 inches.</t>
  </si>
  <si>
    <t>The correct model was confirmed and the correct 7-inch deck hose size was clearly provided, directly answering the customer’s question after appropriate identification steps.</t>
  </si>
  <si>
    <t>A Cyclone Rake 102 Commercial uses a 7-inch deck hose.</t>
  </si>
  <si>
    <t>The agent accepted “Classic 105” and locked the model as a 105 Classic with high confidence, then displayed a configuration that included bag color/shape, blower color, deck hose size, and a list of assorted replacement parts, and finally gave a vague statement that the hitch kit is “typically the one designed for that model” without naming a specific hitch kit or next step.</t>
  </si>
  <si>
    <t>Hitch selection isn’t determined only by the Cyclone Rake model, it depends on the tractor/mower being used (make/model, hitch style, deck size/clearances), so the agent should have asked for the mower details and then recommended the correct hitch kit based on that. The response also showed an incorrect configuration (wrong bag color for a 105 Classic in this context) and included unrelated/incorrect “random” part numbers, which made the answer confusing and unreliable while still failing to provide the correct hitch kit part number or purchase path.</t>
  </si>
  <si>
    <t>The correct hitch kit for a 105 Classic depends on the mower/tractor it will be mounted to, so the agent should request the mower/tractor make and model (and ideally deck size and whether it’s a lawn or garden tractor) and then provide the exact hitch kit part number and a direct purchase link for that specific setup.</t>
  </si>
  <si>
    <t>The agent conducted model identification using bag shape, bag color, blower color, and intake size, locked in the unit as a 103 PRO with high confidence, and provided blower housing part number 01-03-1036 based on the XR950 configuration shown in the system.</t>
  </si>
  <si>
    <t>While the model was confirmed as a 103 PRO and a blower housing part number was provided, the agent assumed the XR950 engine configuration without verifying the actual engine on the unit. The 103 PRO was produced with different engine options depending on production period (including Intek variants), and blower housing compatibility can depend on engine type. The agent should have confirmed the exact engine model before finalizing the blower housing recommendation to avoid a potential mismatch.</t>
  </si>
  <si>
    <t>Confirm the exact engine equipped on the 103 PRO (e.g., XR950 or Briggs Intek variant) and then provide the corresponding blower housing part number matched specifically to that engine configuration.</t>
  </si>
  <si>
    <t>The agent asked identification questions to confirm bag shape, bag color, blower color, and intake size, correctly locked in the model as a 104 Commercial PRO with high confidence, and provided the correct top brace part number (02-03-004) along with additional related replacement parts.</t>
  </si>
  <si>
    <t>The correct model was confirmed and the correct top brace part number (02-03-004) was accurately provided, directly answering the customer’s question. However, the response did not include a direct purchase link, which would have improved one-step resolution.</t>
  </si>
  <si>
    <t>The correct top brace for a 104 Commercial PRO is part number 02-03-004, and a direct purchase link should be provided to complete the order efficiently.</t>
  </si>
  <si>
    <t>The agent used the provided details to confirm the unit as a Cyclone Rake 104 Commercial PRO with high confidence, then answered the question by giving part number 02-03-004 as the collector frame number.</t>
  </si>
  <si>
    <t>The agent provided the wrong part number. Part 02-03-004 is the top brace for the 104 Commercial PRO, not the collector frame. The correct collector frame part number for the 104 Commercial PRO (per your Airtable) is 05-04-001, so the response misidentified the component and would lead the customer to order the wrong part.</t>
  </si>
  <si>
    <r>
      <t xml:space="preserve">The collector frame part number for a 104 Commercial PRO is </t>
    </r>
    <r>
      <rPr>
        <b/>
        <sz val="11"/>
        <color theme="1"/>
        <rFont val="Calibri"/>
        <family val="2"/>
        <scheme val="minor"/>
      </rPr>
      <t>05-04-001</t>
    </r>
    <r>
      <rPr>
        <sz val="11"/>
        <color theme="1"/>
        <rFont val="Calibri"/>
        <family val="2"/>
        <scheme val="minor"/>
      </rPr>
      <t>.</t>
    </r>
  </si>
  <si>
    <t>The agent would typically begin a model identification workflow instead of directly addressing attachment availability, even though the customer clearly stated the model as 105 – Classic.</t>
  </si>
  <si>
    <t>The question is about accessory compatibility, not model identification. Since the 105 Classic was already specified, the agent should have directly confirmed whether a leaf loader (Power Vacuum Pickup) attachment is available and listed the compatible kit options. Initiating identification steps would be unnecessary friction and delay resolution.</t>
  </si>
  <si>
    <t>Yes, a leaf loader attachment (Power Vacuum Pickup) is available for the 105 Classic. The compatible options include the Power Vacuum Pickup – Classic with 6" PVC hose (Part #201) or the Power Vacuum Pickup – Classic with 6" Urethane hose (Part #214), depending on hose preference.</t>
  </si>
  <si>
    <t>Stated that an 8 HP engine typically ranges between 250–300 cc depending on model. Referenced Vanguard engines used in Cyclone Rake products and noted variability in specifications. Confidence level marked as medium.</t>
  </si>
  <si>
    <t>Answer was too broad and did not use the exact specification published on the Cyclone Rake website. Customers expect a precise cc value, not a range.</t>
  </si>
  <si>
    <t>305CC</t>
  </si>
  <si>
    <t>Stated that no FAQ information was available regarding a signed W-9. Advised checking with accounting or a supervisor for assistance. Confidence marked as high.</t>
  </si>
  <si>
    <t>The AI did not reference the available internal resource. A signed W-9 is stored in Cyclopedia and should have been directly linked. Instead of escalating externally, the agent should have directed the user to the internal article.</t>
  </si>
  <si>
    <t>The agent would likely confirm the model as a 102 Commercial and then either provide a generic hitch statement or list unrelated parts without requesting mower/tractor details.</t>
  </si>
  <si>
    <t>Direct the user to the signed W-9 located in Cyclopedia: https://cyclopedia.cyclonerake.com/docs/2026-w-9</t>
  </si>
  <si>
    <t>Hitch kit selection is determined by the mower or tractor the Cyclone Rake is being attached to, not just the Cyclone Rake model. Since the customer only provided “102 – Commercial,” the agent should have asked for the mower/tractor make and model (and deck size if needed) before recommending a specific hitch kit. Failing to request that information would risk giving an incorrect hitch recommendation.</t>
  </si>
  <si>
    <t>The correct hitch kit for a 102 Commercial depends on the mower or tractor it will be mounted to. The agent should request the mower/tractor make and model (and deck size if necessary) and then provide the exact hitch kit part number along with a direct purchase link.</t>
  </si>
  <si>
    <t>The system processed the provided attributes (green blower, tapered green 285-gallon bag, Vanguard 6.5 HP Phase II engine) and locked in the model as a 104 Commercial PRO with high confidence, then displayed configuration details that included a black 415-gallon bag and an Intek 7 HP engine, which did not match the customer’s inputs.</t>
  </si>
  <si>
    <t>The identification was incorrect and internally inconsistent. A 104 Commercial PRO uses a black 415-gallon bag, not a tapered green 285-gallon bag. Based on the provided details, the unit could align more closely with a 103 PRO (possibly with an engine upgrade), a 106 Commander PRO JetPath, or a 109 Commander depending on intake size. The agent failed to recognize the mismatch and did not request the blower intake diameter (7-inch vs. 8-inch), which is a critical differentiator needed to accurately confirm the correct model.</t>
  </si>
  <si>
    <t>With a green blower, tapered green 285-gallon bag, and Vanguard 6.5 HP Phase II engine, the unit is not a 104 Commercial PRO. It is more likely a 103 PRO (possibly upgraded), a 106 Commander PRO JetPath, or a 109 Commander. The correct next step is to confirm the blower intake diameter (7-inch or 8-inch) to accurately determine the exact model.</t>
  </si>
  <si>
    <t>The agent asked identification questions to confirm bag shape, bag color, blower color, and intake size, correctly locked in the model as a 104 Commercial PRO with high confidence, and provided the correct exit chute part number (02-02-077) along with additional related replacement parts.</t>
  </si>
  <si>
    <t>The correct model was confirmed and the correct exit chute part number (02-02-077) was accurately provided, directly answering the customer’s question. However, the response included unrelated parts and did not provide a direct purchase link for the exit chute, which would improve clarity and one-step resolution.</t>
  </si>
  <si>
    <t>The correct exit chute for a 104 Commercial PRO is part number 02-02-077, and a direct purchase link should be included to complete the purchase efficiently.</t>
  </si>
  <si>
    <t>Stated warranty details were not explicitly available in the FAQ. Mentioned that use of non-original parts may void coverage and referenced maintenance practices.</t>
  </si>
  <si>
    <t>The agent failed to retrieve clearly published warranty information from both the main website and the Cyclopedia. All cited links routed to the homepage and did not validate the response. This is a knowledge retrieval failure and citation routing issue. Warranty information is publicly available and should have been directly linked.</t>
  </si>
  <si>
    <t>The system processed the provided attributes (green blower, tapered green 285-gallon bag, Vanguard 6.5 HP Cyclonic engine) and locked the unit in as a Cyclone Rake 109 with high confidence, then displayed configuration details and associated replacement parts.</t>
  </si>
  <si>
    <t>Although the configuration matches a 109 Commander in many cases, the same tapered green 285-gallon bag and Vanguard 6.5 HP Cyclonic engine combination can also appear on a 103 PRO or 106 Commander PRO JetPath if the engine was upgraded. The agent did not verify the deck hose diameter (7-inch vs. 8-inch), which is a key differentiator between these models. Without confirming hose size, the identification cannot be considered fully validated.</t>
  </si>
  <si>
    <t>With a green blower, tapered green 285-gallon bag, and Vanguard 6.5 HP Cyclonic engine, the unit is likely a 109 Commander, but it could also be a 103 PRO or 106 Commander PRO JetPath with an engine upgrade. The correct next step is to confirm the deck hose diameter (7-inch or 8-inch) to accurately determine the exact model.</t>
  </si>
  <si>
    <t>he agent reviewed the provided configuration details, confirmed compatibility with a Vanguard 6.5 HP Cyclonic engine setup, and supplied the correct air filter part number (01-01-2147), while also listing additional related replacement parts.</t>
  </si>
  <si>
    <t>The correct air filter part number (01-01-2147) for the Vanguard 6.5 HP Cyclonic engine was accurately provided, successfully answering the customer’s question. However, the response included unrelated parts and did not provide a direct purchase link, which would improve clarity and create a cleaner one-step resolution.</t>
  </si>
  <si>
    <t>The correct air filter for a 103 PRO with a Vanguard 6.5 HP Cyclonic engine is part number 01-01-2147, and a direct purchase link should be included to complete the order efficiently.</t>
  </si>
  <si>
    <t>Stated the FAQ does not specify a product to help dump the collector. Suggested contacting customer service for</t>
  </si>
  <si>
    <t>The agent failed to retrieve clearly available accessory information. We offer both the Power Lift Unloader and the Power Unloader specifically to assist with dumping the collector. All cited links routed to the homepage and did not validate the response. This is a product knowledge and citation routing failure.</t>
  </si>
  <si>
    <t>Stated the FAQ does not provide specific shipping details for new purchases. Suggested contacting customer service for more information.</t>
  </si>
  <si>
    <t>The agent failed to retrieve clearly published shipping information available on both the main website and Cyclopedia. All cited links routed to the homepage and provided no supporting information. This is a knowledge retrieval and citation routing failure.</t>
  </si>
  <si>
    <t>All Cyclone Rake ship Free via ABF LTL. Shipping details are outlined here: https://www.cyclonerake.com/shipping-payments-returns
 and https://cyclopedia.cyclonerake.com/docs/cyclone-rake-shipping-guide-fast-free-hassle-free-1</t>
  </si>
  <si>
    <t>The agent relied on the model lock for a 105 Classic and provided an MDA collar part number of 213 as the correct item for that setup.</t>
  </si>
  <si>
    <t>The part number given was incorrect. The MDA collar for the 105 Classic is not “213,” and the response did not specify the proper collar size/configuration. Per your reference, the correct item is the 7" x 8" MDA Collar with latches and band clamp, which corresponds to kit key 012b and part number 01-02-486.</t>
  </si>
  <si>
    <r>
      <t xml:space="preserve">The correct MDA collar for a 105 Classic is the </t>
    </r>
    <r>
      <rPr>
        <b/>
        <sz val="11"/>
        <color theme="1"/>
        <rFont val="Calibri"/>
        <family val="2"/>
        <scheme val="minor"/>
      </rPr>
      <t>7" x 8" MDA Collar (with latches and band clamp)</t>
    </r>
    <r>
      <rPr>
        <sz val="11"/>
        <color theme="1"/>
        <rFont val="Calibri"/>
        <family val="2"/>
        <scheme val="minor"/>
      </rPr>
      <t xml:space="preserve">, </t>
    </r>
    <r>
      <rPr>
        <b/>
        <sz val="11"/>
        <color theme="1"/>
        <rFont val="Calibri"/>
        <family val="2"/>
        <scheme val="minor"/>
      </rPr>
      <t>Key 012b</t>
    </r>
    <r>
      <rPr>
        <sz val="11"/>
        <color theme="1"/>
        <rFont val="Calibri"/>
        <family val="2"/>
        <scheme val="minor"/>
      </rPr>
      <t xml:space="preserve">, </t>
    </r>
    <r>
      <rPr>
        <b/>
        <sz val="11"/>
        <color theme="1"/>
        <rFont val="Calibri"/>
        <family val="2"/>
        <scheme val="minor"/>
      </rPr>
      <t>Part #01-02-486</t>
    </r>
    <r>
      <rPr>
        <sz val="11"/>
        <color theme="1"/>
        <rFont val="Calibri"/>
        <family val="2"/>
        <scheme val="minor"/>
      </rPr>
      <t>.</t>
    </r>
  </si>
  <si>
    <t>The agent gathered identifying details (bag shape, bag color, blower color, intake size), confirmed the unit as a 105 Classic with high confidence, and ultimately provided the correct PVP coupling part number (01-01-721) after initially responding with the wrong component.</t>
  </si>
  <si>
    <t>After clarification, the correct PVP coupling part number (01-01-721) was provided for the 105 Classic, successfully answering the customer’s question. However, the interaction included an initial incorrect reference to an MDA collar and did not include a direct purchase link, which reduced clarity and one-step resolution quality.</t>
  </si>
  <si>
    <r>
      <t xml:space="preserve">The correct PVP coupling for a 105 – Classic is </t>
    </r>
    <r>
      <rPr>
        <b/>
        <sz val="11"/>
        <color theme="1"/>
        <rFont val="Calibri"/>
        <family val="2"/>
        <scheme val="minor"/>
      </rPr>
      <t>Part #01-01-721</t>
    </r>
    <r>
      <rPr>
        <sz val="11"/>
        <color theme="1"/>
        <rFont val="Calibri"/>
        <family val="2"/>
        <scheme val="minor"/>
      </rPr>
      <t>, and a direct purchase link should be included to complete the order efficiently.</t>
    </r>
  </si>
  <si>
    <t>Stated that the Z-10 is available as part of a bundle. Mentioned engine options and suggested checking the website for bundle details.</t>
  </si>
  <si>
    <t>The agent incorrectly stated that bundle options exist for the Z-10. There are no bundle offerings for this model. All cited links routed to the homepage and provided no supporting information. This is both a product accuracy failure and a citation routing issue.</t>
  </si>
  <si>
    <t>No. The Z-10 does not have any bundle options available.</t>
  </si>
  <si>
    <t>Listed models using the Vanguard 6.5 HP Cyclonic engine (12V332-0136-F1), including Models 101, 109, 107, and 106. Also listed Model 107 (Phase I) separately with a different engine model.</t>
  </si>
  <si>
    <t>The question specifically asked for models using the Vanguard 6.5 HP Phase II engine. The response listed models with the Cyclonic engine and included a Phase I reference, creating confusion and failing to directly answer the Phase II-specific question. This is a precision and filtering failure.</t>
  </si>
  <si>
    <t>Models using the Vanguard 6.5 HP Phase II engine (Engine Model: 12V332-0136-F1): Model 101, Model 106, Model 107 (Phase II), Model 109.</t>
  </si>
  <si>
    <t>Asked a structured series of identification questions (bag color, bag shape, blower color, intake size, engine type). Shortlisted Models 101 and 105 based on inputs. Reported a conflict stating both models should have tapered bags and requested re-verification of bag shape. Displayed results in a dense comparison table format.</t>
  </si>
  <si>
    <t>The narrowing process correctly identified the two possible models (101 and 105). However, the agent introduced unnecessary doubt instead of concluding clearly. Additionally, the shortlist table and conflict messaging were extremely difficult to read and overly technical for a customer-facing interaction. The formatting reduced clarity and usability.</t>
  </si>
  <si>
    <t>Based on the provided features (Green straight bag, Green blower housing, 7" intake, Intek 6 HP engine), the model is either a 101 or a 105.</t>
  </si>
  <si>
    <t>The agent repeatedly attempted to re-identify the model using bag shape, bag color, blower color, and intake diameter, incorrectly defaulted to a 104 Commercial PRO despite the customer clearly stating 107 Commercial Pro 8" JetPath, then entered a blocked state due to an 8-inch intake conflict and never answered the accessory compatibility question.</t>
  </si>
  <si>
    <t>Identified the engine on the 111-XL as “Vanguard 9 HP Phase I – 20H132-0111-B1” and provided in-use dates (2007–2011) plus related specs and maintenance kit info.</t>
  </si>
  <si>
    <t>The agent returned the original engine used on that rake, not the current replacement engine part/model number the customer needs today. This is a “replacement mapping” failure (original ≠ current substitute).</t>
  </si>
  <si>
    <t>The customer explicitly stated the model as a 107 Commercial Pro 8" JetPath and confirmed the 8-inch intake multiple times. Instead of recognizing that the 107 JetPath uses an 8-inch system, the agent attempted to match it to 7-inch models (102/104), causing repeated conflicts and a blocked status. The agent failed to confirm the correct model and did not provide the appropriate leaf loader (Power Unloader) options. For an 8" JetPath system, the correct Power Unloader options are Key 477a – Part #226 (Power Unloader – Green, PVC hose) and Key 477b – Part #215 (Power Unloader – Green, Urethane hose), along with the proper purchase link.</t>
  </si>
  <si>
    <t>Current replacement engine: 8 HP Vanguard, Model Number 19L232-0110-F1</t>
  </si>
  <si>
    <t>es, a leaf loader attachment (Power Unloader) is available for the 107 Commercial Pro 8" JetPath. The correct options are Part #226 (Power Unloader – Green, PVC hose) or Part #215 (Power Unloader – Green, Urethane hose). Purchase link: https://www.cyclonerake.com/power-unloader-commander</t>
  </si>
  <si>
    <t>Stated the switch from the Intek 6 HP to newer engines occurred in August 2007. Noted Intek 6 HP was used from 2005–August 2007 and that Vanguard engines followed.</t>
  </si>
  <si>
    <t>The answer was factually correct, but no source link was provided for verification. The agent should have linked to the Engine History Chart in Cyclopedia to support the response and maintain citation consistency.</t>
  </si>
  <si>
    <t>Switched in August 2007. Intek 6 HP used from 2005–August 2007. Source: https://cyclopedia.cyclonerake.com/docs/engine-history-chart</t>
  </si>
  <si>
    <t>Claimed a 102 – Commercial from Sept 2007–Sept 2010 used a Vanguard 6.5 HP Phase I (12H332-0114-B8) and provided specs (filter shape, hose diameter, blower color, air filter, EMK).</t>
  </si>
  <si>
    <t>The timeframe premise should have been challenged: the 102 model was not produced after August 2007, so a “Sept 2007–Sept 2010 102” is not a valid configuration. The agent incorrectly accepted the dates and assigned an engine rather than correcting the model-year mismatch and referencing the product line history.</t>
  </si>
  <si>
    <t>The agent attempted to re-identify the model using bag shape, bag color, blower color, and intake diameter, entered a blocked state due to a system mismatch, and failed to provide a clear answer regarding side tube availability for the 104 Commercial PRO.</t>
  </si>
  <si>
    <t>The 102 – Commercial was not made after August 2007. The customer’s stated timeframe is inconsistent with the product line history; verify the model number/serial details. Source: https://cyclopedia.cyclonerake.com/docs/product-line-history-chart</t>
  </si>
  <si>
    <t>The customer clearly stated the model as a 104 – Commercial PRO, which should have been sufficient to proceed directly to part availability. Instead, the agent became stuck in model verification logic and did not answer whether side tubes are sold individually or as a set. It failed to provide the correct part numbers: 154b – 02-03-2195 (Single three-piece side tube – Commercial PRO, XL &amp; Z-10) and 154d – 02-03-2196 (Set of two three-piece side tubes – Commercial PRO, XL &amp; Z-10), along with the purchase link.</t>
  </si>
  <si>
    <t>Yes, side tubes for the 104 Commercial PRO are sold both individually and as a set of two. The correct options are Part #02-03-2195 (Single three-piece side tube) and Part #02-03-2196 (Set of two three-piece side tubes). Purchase link: https://www.cyclonerake.com/collector-unit-6</t>
  </si>
  <si>
    <t>Identified the engine as Intek 6 HP – 121232-0115-E1. Included supporting specs: 6 HP, flat square filter, 7" deck hose, green blower, air filter part numbers, and EMK 01-02-200.</t>
  </si>
  <si>
    <t>The engine identification aligns with documented engine history for the 105 – Classic* with a 6 HP flat square filter configuration.</t>
  </si>
  <si>
    <t>Intek 6 HP – 121232-0115-E1</t>
  </si>
  <si>
    <t>Stated that the Vanguard 6.5 HP Phase II uses a Canister filter shape.</t>
  </si>
  <si>
    <t>The answer was correct, but no supporting source link was provided. The agent should have cited the Engine History Chart in Cyclopedia to maintain documentation traceability and consistency</t>
  </si>
  <si>
    <t>Canister filter shape. Source: https://cyclopedia.cyclonerake.com/docs/engine-history-chart</t>
  </si>
  <si>
    <t>The agent repeatedly attempted model identification by confirming bag color, bag shape, blower color, and intake diameter multiple times, but entered a blocked state due to a system mismatch between 7-inch and 8-inch intake expectations and never progressed to answering the chassis replacement question.</t>
  </si>
  <si>
    <t>dentified the engine as Intek 6 HP – 121232-0115-E1. Included specs: 6 HP, Flat Square filter, 7" deck hose, green blower, air filter part numbers, and EMK 01-02-200.</t>
  </si>
  <si>
    <t>he customer clearly stated the model as a 104 – Commercial PRO, and after multiple confirmations of a 7-inch intake and tapered black bag, the agent still failed to confidently lock in the model due to internal conflicts. Instead of resolving the mismatch and proceeding with the requested part, the interaction looped through identification steps and never provided the replacement chassis information. The correct chassis for a 104 Commercial PRO is Key 001b – Part #02-04-700A (Large Chassis Unit Complete, 36-3/4 inches wide), which should have been provided along with the purchase link.</t>
  </si>
  <si>
    <t>Engine identification properly matched model (101 – Standard Complete Platinum), horsepower, and filter shape using engine history data.</t>
  </si>
  <si>
    <t>The agent initiated a model identification workflow despite the customer clearly stating 107 – Commercial Pro 8" JetPath, asked for bag shape, bag color, blower color, and intake size, then entered a blocked state due to an internal 7-inch vs. 8-inch conflict and failed to provide any hitch recommendation.</t>
  </si>
  <si>
    <t>Even after confirming the 8-inch JetPath configuration, the question still could not be answered because hitch kits are not determined by deck hose size or Cyclone Rake model alone. Hitch selection depends entirely on the mower or tractor the unit attaches to. Confirming the 8-inch intake does not resolve hitch compatibility. The agent failed because it did not shift to asking for the mower/tractor make and model, which is the critical information required to recommend the correct hitch kit.</t>
  </si>
  <si>
    <t>The correct hitch kit for a 107 Commercial Pro 8" JetPath depends on the mower or tractor being used. The necessary next step is to obtain the mower/tractor make and model (and deck size if applicable), then provide the specific hitch kit part number and purchase link based on that equipment.</t>
  </si>
  <si>
    <t>While EMK 01-02-200 is correct for a Vanguard 6.5 HP Phase I, the 101 – Standard Complete Platinum did not originally come with this engine according to the Engine History Chart. The agent should have flagged the configuration mismatch and asked for clarification (possible engine swap or incorrect model identification) instead of confirming without validation</t>
  </si>
  <si>
    <t>Identified the engine as Vanguard 6.5 HP Phase I – 12H332-0114-B8 and provided EMK part number 01-02-200.</t>
  </si>
  <si>
    <t>EMK 01-02-200 (for Vanguard 6.5 HP Phase I). However, the 101 model did not originally pair with this engine — configuration should be verified. Source: https://cyclopedia.cyclonerake.com/docs/engine-history-chart</t>
  </si>
  <si>
    <t>Yes, a replacement chassis is available for a 104 Commercial PRO. The correct part is 02-04-700A – Large Chassis Unit Complete (36-3/4" wide). Purchase link: https://www.cyclonerake.com/chassis-9 (Note Part number Incorrect on Airtable for 104)</t>
  </si>
  <si>
    <t>Asked for rake model, horsepower, and engine brand. Generated a shortlist of two Vanguard 6.5 HP engine variants (Cyclonic vs. Phase II). Requested confirmation of air filter shape. Displayed comparison table with “conflicts found.”</t>
  </si>
  <si>
    <t>The original question already specified Vanguard 6.5 HP Cyclonic. The agent unnecessarily re-ran engine identification instead of directly providing the oil filter part number. It also introduced irrelevant engine brands earlier in the flow and overcomplicated the interaction with a technical shortlist table. This reflects poor intent recognition and unnecessary diagnostic logic.</t>
  </si>
  <si>
    <t>Oil Filter Part Number: 01-01-2147 (Vanguard 6.5 HP Cyclonic engine).</t>
  </si>
  <si>
    <t>The agent attempted to validate the model using bag shape, bag color, blower color, and intake size, but became stuck in a repeated 7-inch vs. 8-inch intake conflict and never progressed to answering the wheel kit question.</t>
  </si>
  <si>
    <t>The customer clearly stated the model as a 102 – Commercial and confirmed a 7-inch intake multiple times. Despite this, the system remained in a blocked state and failed to provide the requested wheel kit information. The agent did not move past internal model-matching logic to deliver the correct part. The correct wheel kit for a 102 Commercial is Part #01-04-031 – Single Wheels Complete (set of 2), which should have been provided along with the purchase link.</t>
  </si>
  <si>
    <t>The correct wheel kit for a 102 Commercial is Part #01-04-031 – Single Wheels Complete (set of 2). Purchase link: https://www.cyclonerake.com/wheels-6</t>
  </si>
  <si>
    <t>Identified engine as Vanguard 6.5 HP Phase I – 12H332-0114-B8. Included filter shape, production phase, deck hose size, air filter part numbers, and maintenance kit.</t>
  </si>
  <si>
    <t>The engine was properly identified as Vanguard 6.5 HP Phase I in the first line. Minor formatting issue with an incomplete “HP” at the end, but engine identification itself was accurate.</t>
  </si>
  <si>
    <t>Vanguard 6.5 Phase I</t>
  </si>
  <si>
    <t>Identified Vanguard 9 HP Phase I engine on 111 - XL. Stated deck hose diameter is 8 inches. Included engine model number and production years.</t>
  </si>
  <si>
    <t>The hose diameter (8 inches) was correct. However, the response did not mention that the hose is a urethane hose and did not provide a direct link to the hose ordering page. This is a missed cross-sell/support routing opportunity rather than a knowledge failure.</t>
  </si>
  <si>
    <t>8-inch urethane deck hose. Should include link to hose ordering page.</t>
  </si>
  <si>
    <t>The agent initiated a full model identification workflow despite the customer clearly stating 101 – Standard Complete Platinum with a Vanguard 6.5 HP Cyclonic engine, asked for bag color, shape, blower color, and intake size, then entered a repeated blocked state due to a 7-inch vs. 8-inch conflict and never provided an impeller part number.</t>
  </si>
  <si>
    <t>The model (101 – Standard Complete Platinum) and engine type (Vanguard 6.5 HP Cyclonic) were already clearly provided. Additional identification questions were unnecessary. Even after confirming a 7-inch intake, the system failed to lock the model and did not answer the actual question about the impeller. The agent should have moved directly to providing the correct impeller options compatible with Tecumseh, Intek, and Phase I &amp; II Vanguard engines.</t>
  </si>
  <si>
    <t>model number and multiple rake models. Included filter type, hose size, air filter, and maintenance kit.</t>
  </si>
  <si>
    <t>The engine availability answer was generally correct. However, the model applicability was not accurately framed. The XR-950 comes standard on the 105, 109, and 110, and is optional as a replacement engine for 101, 102, 103, 104, 106, and 107. The response mixed model fitment without clarifying standard vs. optional usage.</t>
  </si>
  <si>
    <t>XR-950 is still available. Standard on 105, 109, and 110. Optional replacement engine for 101, 102, 103, 104, 106, and 107.</t>
  </si>
  <si>
    <t>For a 101 – Standard Complete Platinum with a Vanguard 6.5 HP Cyclonic engine, the correct replacement impeller options are Part #02-03-017, the 4-Blade Yellow Impeller with hardware kit (compatible  Vanguard 6.5hp engines), or Part #02-03-020, the 5-Blade Orange Impeller with hardware kit (for B&amp;S Intek and Phase I &amp; II Vanguard engines), and both options are available here: https://www.cyclonerake.com/blower-unit-replacement-parts-6</t>
  </si>
  <si>
    <t>Listed general differences between Phase I and Phase II Vanguard engines including design improvements, fuel system updates, canister air filter, noise reduction, emissions compliance, and possible horsepower changes.</t>
  </si>
  <si>
    <t>The response appears to be generic engine-phase assumptions and is not supported by Cyclone Rake documentation. No source link was provided. Differences such as emissions updates may be true at a manufacturer level, but without internal documentation, this should not be presented as confirmed fact.</t>
  </si>
  <si>
    <t>for the Intek 6 HP in available data. Provided engine configuration details (model number, filter type, hose size, etc.).</t>
  </si>
  <si>
    <t>It correctly identified that torque data is not documented internally. However, it did not provide next-step guidance. When specifications are not available in our records, the customer should be directed to a Briggs &amp; Stratton dealer for manufacturer-specific engine specifications. The additional configuration details were unnecessary for the question asked.</t>
  </si>
  <si>
    <t>Torque rating not documented internally. Customer should contact a Briggs &amp; Stratton dealer for official torque specifications.</t>
  </si>
  <si>
    <t>Phase differences should be verified using the Engine History Chart and documented specifications. Unsupported generalizations should be avoided. This is a credibility risk issue. The agent provided a confident, technically plausible explanation without documentation. Even if some points are true at a Briggs &amp; Stratton level, we don’t have confirmation specific to Cyclone Rake applications. The safer behavior would be:
Avoid speculative performance/emissions claims unless documented.
Provide a supporting Cyclopedia link.
This is less of a retrieval failure and more of a speculation control issue — which is arguably more important from a trust standpoint.</t>
  </si>
  <si>
    <t>Stated that the Vanguard 6.5 HP Phase I engine has 6.5 horsepower.</t>
  </si>
  <si>
    <t>The horsepower matches the documented engine specification.</t>
  </si>
  <si>
    <t>6.5 HP</t>
  </si>
  <si>
    <t>The agent attempted to re-identify the model by asking for bag shape, bag color, blower color, and intake size, repeatedly entered a blocked state due to a 7-inch versus 8-inch intake conflict, and failed to provide the requested exit chute part number even after multiple confirmations of a 7-inch configuration and the model being a 102 Commercial.</t>
  </si>
  <si>
    <t>The customer clearly stated the model as 102 – Commercial and confirmed a 7-inch intake multiple times, which should have been sufficient to proceed. Instead, the system remained stuck in model verification logic and did not provide the exit chute information. The correct part was never supplied, and no resolution was achieved.</t>
  </si>
  <si>
    <t>The correct exit chute for a 102 – Commercial is Exit Chute Complete with Latches – Classic &amp; Commander (Green), Key 003c, Part #01-02-077, available here: https://www.cyclonerake.com/blower-unit-replacement-parts</t>
  </si>
  <si>
    <t>engine configuration details including model number, compatible rake models, air filter, and maintenance kit.</t>
  </si>
  <si>
    <t>Correctly identified that torque information is not documented internally. However, it failed to provide proper next-step guidance. When torque specifications are unavailable, the customer should be directed to a Briggs &amp; Stratton dealer for official engine specifications. The extra configuration details were unnecessary for the question asked.</t>
  </si>
  <si>
    <t>The agent initiated model identification by requesting bag shape, bag color, and blower color, then attempted to validate intake size, but entered a repeated blocked state due to an internal 7-inch versus 8-inch conflict and failed to provide the requested deck hose size information.</t>
  </si>
  <si>
    <t>The customer clearly stated the model as a 101 – Standard Complete Platinum , which should have been sufficient to answer the question directly. Instead of confirming the known deck hose size for the 101 model, the agent remained stuck in verification logic and did not provide the requested information, resulting in no resolution.</t>
  </si>
  <si>
    <t>A 101 – Standard Complete Platinum uses a 7-inch deck hose.</t>
  </si>
  <si>
    <t>Stated the switch occurred around October 2010 when Vanguard 6.5 HP Phase II was introduced. Noted Phase I was used from September 2007 to September 2010.</t>
  </si>
  <si>
    <t>Information was accurate and clearly presented. Transition timing was correctly identified.</t>
  </si>
  <si>
    <t>The switch occurred around October 2010. Phase I ran from September 2007 to September 2010, followed by Phase II.</t>
  </si>
  <si>
    <t>Stated Vanguard 6.5 HP Phase II was introduced in October 2010 and remained in use until Fall 2019.</t>
  </si>
  <si>
    <t>Information was accurate and clearly stated. Correct production window for this engine/model combination.</t>
  </si>
  <si>
    <t>Sold from October 2010 through Fall 2019.</t>
  </si>
  <si>
    <t>he agent initiated a model identification workflow by requesting bag shape, bag color, blower color, and intake size, then entered a repeated blocked state due to a 7-inch versus 8-inch intake mismatch and never provided a blower gasket set part number.</t>
  </si>
  <si>
    <t>The customer clearly stated the model as a 110 – Commercial Pro and confirmed the intake size multiple times, yet the system remained stuck in verification logic and failed to move forward with the requested part information. Instead of resolving the intake discrepancy and providing the correct gasket-related component, no part number was supplied and no resolution was achieved.</t>
  </si>
  <si>
    <t>he correct part is the Aluminum Fuel Bowl Set for all Vanguard engines, SKU 01-02-609, available here: https://www.cyclonerake.com/aluminum-fuel-bowl-set-for-all-vanguard-engines</t>
  </si>
  <si>
    <t>Recommended using fuel stabilizer even with ethanol-free gas. Mentioned prevention of gum and varnish buildup and advised running engine after adding stabilizer.</t>
  </si>
  <si>
    <t>The content of the answer was correct. However, all cited links routed to the homepage and did not validate the response. The agent should have linked directly to the Cyclopedia fuel storage guidelines article. This is another citation routing failure.</t>
  </si>
  <si>
    <t>Yes. Fuel stabilizer is strongly recommended every time you refuel — even with ethanol-free gas. It helps prevent gum and varnish buildup and maintain performance. Briggs &amp; Stratton recommends fuel treatment as part of regular refueling. Source: https://cyclopedia.cyclonerake.com/docs/fuel-storage-guidelines-for-your-cyclone-rake</t>
  </si>
  <si>
    <t>Is fuel stabilizer needed if I use Ethanol free gas?</t>
  </si>
  <si>
    <t>The agent attempted to run model identification logic, referenced mismatched bag attributes in the system, entered a blocked state due to a 7-inch versus 8-inch intake conflict, and failed to provide a model identification even after the intake size was confirmed as 7 inches.</t>
  </si>
  <si>
    <t>he customer clearly provided distinguishing attributes: Straight Green 200-gallon bag and Green blower, along with a 7-inch intake confirmation. The system incorrectly compared against tapered black bag configurations and became stuck in intake validation logic instead of recognizing that a straight green 200-gallon collector narrows the possibilities significantly. Based on the provided configuration, the unit could reasonably be a 101 Standard or a 105 Classic, and additional details such as engine type would be needed to confirm definitively.</t>
  </si>
  <si>
    <t>Stated that the XR 950 on a 103 – PRO uses a 7" deck hose.</t>
  </si>
  <si>
    <t>A Cyclone Rake with a Straight Green 200-gallon bag and Green blower is most likely a 101 Standard or a 105 Classic, and confirming the engine model would determine the exact model.</t>
  </si>
  <si>
    <t>The 7" hose size is correct for the 103 – PRO. However, the 103 was retired in 2006 and never used the XR 950 engine (introduced in 2019). The agent failed to flag the engine/model timeline conflict and provided no documentation link. This is a validation and citation failure.</t>
  </si>
  <si>
    <t>The 103 – PRO used a 7" deck hose. However, it never used the XR 950 engine (model retired in 2006; XR 950 introduced in 2019). Sources: https://cyclopedia.cyclonerake.com/docs/product-line-history-chart</t>
  </si>
  <si>
    <t>Stated that the XR 950 engine uses a Canister filter shape.</t>
  </si>
  <si>
    <t>Canister filter shape.</t>
  </si>
  <si>
    <t>Stated that a 6 HP engine typically uses a Flat Square air filter shape.</t>
  </si>
  <si>
    <t>The statement is correct for the 6 HP Intek engine. However, the agent did not clarify the distinction between a 6 HP and a 6.5 HP engine. The 6.5 HP (Vanguard Phase II) uses a Canister filter. The agent should have verified exact horsepower to avoid misidentification.</t>
  </si>
  <si>
    <t>6 HP (Intek) → Flat Square filter. 6.5 HP (Vanguard Phase II) → Canister filter. Technically correct but lacked clarification. The agent missed an opportunity to confirm whether the customer had a 6 HP or 6.5 HP engine, which could lead to incorrect filter guidance. This is a precision and verification gap rather than a factual error.</t>
  </si>
  <si>
    <t>What are the recommended steps for safely starting and stopping your Cyclone Rake engine?</t>
  </si>
  <si>
    <t>Which types of yard debris is the Cyclone Rake specifically designed to collect — and which materials should you avoid?</t>
  </si>
  <si>
    <t>What is the proper procedure for unloading debris from your Cyclone Rake collector?</t>
  </si>
  <si>
    <t>What should you know before trying to use the Cyclone Rake with an ATV, golf cart, or other vehicle?</t>
  </si>
  <si>
    <t>What components come included in your new Cyclone Rake package out of the box?</t>
  </si>
  <si>
    <t>How can your Cyclone Rake help prepare garden beds and reduce thatch buildup in spring?</t>
  </si>
  <si>
    <t>What key factors determine whether a Cyclone Rake will fit your mower?</t>
  </si>
  <si>
    <t>What role do engine clamp knobs and rubber washers play on a Cyclone Rake?</t>
  </si>
  <si>
    <t>Engine and EMK part number correctly matched to the 109 – Commander* with Vanguard 6.5 HP Phase I configuration.</t>
  </si>
  <si>
    <t>EMK 01-02-200</t>
  </si>
  <si>
    <t>What service is included on freight deliveries of a full Cyclone Rake system to make final delivery easier?</t>
  </si>
  <si>
    <t>If an aftermarket part or accessory doesn’t meet your needs and you want to return it, within how many months of purchase is a return typically accepted for a full refund?</t>
  </si>
  <si>
    <t>If a customer prefers not to initiate a return online for their Cyclone Rake, what alternative option does the return process article suggest?</t>
  </si>
  <si>
    <t>What payment options do you accept?</t>
  </si>
  <si>
    <t>How do I apply for Tax Exemption?</t>
  </si>
  <si>
    <t>Why do you need my email address?</t>
  </si>
  <si>
    <t>Can I get a catalog?</t>
  </si>
  <si>
    <t>How do I install the deck hose?</t>
  </si>
  <si>
    <t>If I refer someone, do I receive anything?</t>
  </si>
  <si>
    <t>Stated the 107 – Commercial Pro with an Intek 7 HP was sold from 2005 until August 2007.</t>
  </si>
  <si>
    <t>The date range was too broad and started a year early. The correct documented window for the 107 Commercial PRO JetPath with Briggs INTEK 7.0 HP is Sept 2006 – Aug 2007. No supporting link was provided.</t>
  </si>
  <si>
    <t>2006–2007 (Sept 2006 – Aug 2007): 107 Commercial PRO JetPath with Briggs INTEK 7.0 HP. Source: https://cyclopedia.cyclonerake.com/docs/product-line-history-chart</t>
  </si>
  <si>
    <t>Returned info for a 107 - Commercial Pro with a Vanguard 6.5 HP Phase I (12H332-0114-B8) and listed EMK 01-02-200.</t>
  </si>
  <si>
    <t>The agent did not answer the question asked. The user requested Tecumseh 5 HP specs, but the agent responded with an unrelated model/engine (107 + Vanguard 6.5). This is an intent/entity mismatch plus missing documentation link. Correct specs are available in the Engine History Chart.</t>
  </si>
  <si>
    <t>Provide Tecumseh 5 HP specifications from the Engine History Chart. Source: https://cyclopedia.cyclonerake.com/docs/engine-history-chart. This was a major misrouting error: the agent ignored the requested engine (Tecumseh 5 HP) and hallucinated an unrelated model/engine response. The correct behavior is to pull Tecumseh 5 HP specs directly from the Engine History Chart and cite it.</t>
  </si>
  <si>
    <t>Filter shape aligns with documented engine specifications.</t>
  </si>
  <si>
    <t>The agent attempted to validate the model through intake size confirmation, became stuck in a repeated 7-inch versus 8-inch intake conflict, and failed to provide the requested top brace part number for the 102 – Commercial.</t>
  </si>
  <si>
    <t>The customer clearly stated the model as a 102 – Commercial and confirmed the 7-inch configuration, which should have been sufficient to proceed directly to the part information. Instead, the system remained blocked in model-matching logic and did not supply the correct top brace part number, resulting in no resolution.</t>
  </si>
  <si>
    <t>The correct top brace part for a 102 – Commercial is Top Brace Bracket, Clamp Knob and Washers (Set of 2), Key 553, Part #01-02-120.</t>
  </si>
  <si>
    <t>The agent would typically initiate model identification steps even though the customer clearly stated 102 – Commercial, rather than directly addressing leaf loader attachment availability.</t>
  </si>
  <si>
    <t>The model was already clearly provided as 102 – Commercial, so additional identification steps would be unnecessary. The correct response should directly confirm whether a leaf loader attachment is available and provide the appropriate kit options and purchase link. Initiating model verification would add friction and delay resolution.</t>
  </si>
  <si>
    <t>Identified engine as XR 950 – 130G32-0184-F1 and provided EMK part number 213XR.</t>
  </si>
  <si>
    <t>Engine identification and EMK part number correctly matched to the 109 – Commander* configuration.</t>
  </si>
  <si>
    <t>Yes, a Power Unloader is available for the 102 – Commercial. The correct options are Key 477a – Part #226 (Power Unloader – Green, PVC hose) and Key 477b – Part #215 (Power Unloader – Green, Urethane hose). Purchase link: https://www.cyclonerake.com/power-unloader-classic</t>
  </si>
  <si>
    <t>EMK 213XR</t>
  </si>
  <si>
    <t>Edgar</t>
  </si>
  <si>
    <t>Other</t>
  </si>
  <si>
    <t>whats the hitch needed for my cub cadet 13a5a2tma10 54"</t>
  </si>
  <si>
    <t>Here are the compatible Cyclone Rake models and their specifications for your Cub Cadet 13A5A2TMA10 with a 54-inch deck: ### Recommended Cyclone Rake Models: 1. Commander - MDA: 230-044 (Aftermarket: A230-044) - Hitch: 208-090 (Aftermarket: 208-090A) - Hose: 304JP (Aftermarket: RPVC-08-04) - Upgrade Hose: 304UJP (Aftermarket: RPUR-08-04) 2. Classic - MDA: 206-044 (Aftermarket: A206-044) - Hitch: 208-090 (Aftermarket: 208-090A) - Hose: 305 (Aftermarket: RPVC-07-05) - Upgrade Hose: 305U (Aftermarket: RPUR-07-05) 3. Commander CRS - MDA: 230-044 (Aftermarket: A230-044) - Hitch: 208-090 (Aftermarket: 208-090A) - Upgrade Hose: 308UJP (Aftermarket: RPUR-08-08) 4. Commercial Pro - MDA: 230-044 (Aftermarket: A230-044) - Hitch: 208-090 (Aftermarket: 208-090A) - Hose: 304JP (Aftermarket: RPVC-08-04) - Upgrade Hose: 304UJP (Aftermarket: RPUR-08-04) 5. XL - MDA: 240-044 (Aftermarket: A240-044) - Hitch: 208-090 (Aftermarket: 208-090A) - Rubber Collar Kit: 250 - Upgrade Hose: 305UJPX (Aftermarket: RPUR-08-05) ### Installation Flags: - Deck opening measurements required: No - MDA pre-cut: Yes - Customer deck drilling required: Yes - Exhaust deflection needed: No - Compatible with Comm Pro / XL / Z-10: Yes ### Sources: - Cub Cadet 13A5A2TMA10 54 - Commander - Cub Cadet 13A5A2TMA10 54 - Classic - Cub Cadet 13A5A2TMA10 54 - Commander CRS - Cub Cadet 13A5A2TMA10 54 - Commercial Pro - Cub Cadet 13A5A2TMA10 54 - XL Feel free to ask if you need more information or assistance!</t>
  </si>
  <si>
    <t>Only aftermarket hitch and MDA links work.</t>
  </si>
  <si>
    <t>Provided air filter part number 01-01-1909 for the 6.5 HP engine on the 109 – Commander*.</t>
  </si>
  <si>
    <t>Answers were correct, but links weren't all working.</t>
  </si>
  <si>
    <t>Air filter part number correctly matched to the 6.5 HP configuration for the 109 – Commander*.</t>
  </si>
  <si>
    <t>Which Cyclone Rake is compatible with my Exmark Lazer Z AS 52"</t>
  </si>
  <si>
    <t>Here are the compatible Cyclone Rake models and their specifications for your Exmark Lazer Z AS with a 52-inch deck: ### Recommended Cyclone Rake Models: 1. Commander - MDA: 230-060 (Aftermarket: A230-060) - Hitch: 208-090X (Aftermarket: 208-090XA) - Hose: 306JP (Aftermarket: RPVC-08-06) - Upgrade Hose: 306UJP (Aftermarket: RPUR-08-06) 2. Classic - MDA: 206-060 (Aftermarket: A206-060) - Hitch: 208-090X (Aftermarket: 208-090XA) - Hose: 310 (Aftermarket: RPVC-07-10) - Upgrade Hose: 310U (Aftermarket: RPUR-07-10) 3. Commander CRS - MDA: 230-060 (Aftermarket: A230-060) - Hitch: 208-090X (Aftermarket: 208-090XA) - Upgrade Hose: 310UJP (Aftermarket: RPUR-08-10) 4. Commercial Pro CRS - MDA: 230-060 (Aftermarket: A230-060) - Hitch: 208-090X (Aftermarket: 208-090XA) - Hose: 306JP (Aftermarket: RPVC-08-06) - Upgrade Hose: 306UJP (Aftermarket: RPUR-08-06) ### Installation Flags: - Deck opening measurements required: No - MDA pre-cut: No - Customer deck drilling required: Yes - Exhaust deflection needed: Yes - Compatible with Comm Pro / XL / Z-10: Yes ### Sources: - Exmark Lazer Z AS 52 - Commander - Exmark Lazer Z AS 52 - Classic - Exmark Lazer Z AS 52 - Commander CRS - Exmark Lazer Z AS 52 - Commercial Pro CRS - Exmark Lazer Z AS 52 - Commercial Pro Feel free to ask if you need more information or assistance!</t>
  </si>
  <si>
    <t>Yes you do have to drill holes on the back of your JD to mount the hitch.</t>
  </si>
  <si>
    <t>You do have to drill holes on the back of your JD. The rear is only a flat panel where it has no predrilled holes.</t>
  </si>
  <si>
    <t>For your John Deere S140 with a 48-inch deck, you do not need to drill holes to mount the hitch. Here are the details: ### Hitch Information: - Hitch Model: 208-090 (Aftermarket: 208-090A) - MDA: 230E (Aftermarket: A230E) - Rubber Collar Kit: 250 - Hose: 304JP (Aftermarket: RPVC-08-04) - Upgrade Hose: 304UJP (Aftermarket: RPUR-08-04) ### Installation Flags: - Deck opening measurements required: No - MDA pre-cut: Yes - Customer deck drilling required: No - Exhaust deflection needed: No - Compatible with Comm Pro / XL / Z-10: Yes ### Sources: - John Deere S140 48 - Commander - John Deere S140 48 - Classic - John Deere S140 48 - Commander CRS - John Deere S140 48 - Commercial Pro CRS - John Deere S140 48 - Classic CRS If you have any more questions or need further assistance, feel free to ask!</t>
  </si>
  <si>
    <t xml:space="preserve">01-01 1909 No link provided </t>
  </si>
  <si>
    <t>Do I have to drill holes to mount the hitch on to my John Deere S140 48"</t>
  </si>
  <si>
    <t>I have a John Deere L130 48" how much hose will I need to connect it to my XL Cyclone Rake</t>
  </si>
  <si>
    <t>For your John Deere L130 with a 48-inch deck, the hose needed to connect to your XL Cyclone Rake is as follows: ### Hose Information: - **Hose Model:** [304JP](https://www.cyclonerake.com/pvc-hose4) (Aftermarket: [RPVC-08-04](https://www.cyclonerake.com/pvc-hose-8in-dia-x-4ft)) - **Upgrade Hose:** [304UJP](https://www.cyclonerake.com/urethane-hose6) (Aftermarket: [RPUR-08-04](https://www.cyclonerake.com/ure-hose-8in-dia-x-4ft)) ### Installation Flags: - **Deck opening measurements required:** No - **MDA pre-cut:** Yes - **Customer deck drilling required:** No - **Exhaust deflection needed:** No - **Compatible with Comm Pro / XL / Z-10:** Yes ### Sources: - [John Deere L130 48 - Commander](https://www.cyclonerake.com/230e-mda-e-8in-grn) - [John Deere L130 48 - Classic](https://www.cyclonerake.com/mda225658) - [John Deere L130 48 - Commercial Pro](https://www.cyclonerake.com/230e-mda-e-8in-grn) If you have any more questions or need further assistance, feel free to ask!</t>
  </si>
  <si>
    <t>Provided correct length hose but none of the links worked.</t>
  </si>
  <si>
    <t>Same answer with working links for part numbers of hose.</t>
  </si>
  <si>
    <t>Said there is no specific retrofit kit for Vanguard 6.5 HP Phase II on a 106 – Commander Pro. Mentioned EMK “213” instead.</t>
  </si>
  <si>
    <t>The agent conflated retrofit/upgrade kits with an engine maintenance kit and incorrectly said no kit exists. The Product Line History Chart lists upgrade/replacement engine kits for this situation, and the website has the corresponding engine/kit page.</t>
  </si>
  <si>
    <t>Provided air filter part number 01-01-2116 for an XR 950 (and referenced 109 Commander*), instead of a spark plug.</t>
  </si>
  <si>
    <t>The agent answered the wrong part category (air filter vs. spark plug) and added irrelevant model context. This is an intent/slot-mismatch failure. The correct XR 950 spark plug part number is documented on the website.</t>
  </si>
  <si>
    <t>Yes—upgrade/retrofit options are documented for the 106 Commander Pro (use Commander as basis): XR950-PRO Upgrade Kit (01-04-158) and 6.5 HP Vanguard Cyclonic Upgrade Kit (01-04-306). Sources: https://cyclopedia.cyclonerake.com/docs/product-line-history-chart  and https://www.cyclonerake.com/store/owners-marketplace/parts/cyclone-rake-commander-1/engines/xr950-and-cyclonic-engines/</t>
  </si>
  <si>
    <t>Spark plug part number: 01-01-758. Source: https://www.cyclonerake.com/search?q=spark%20plug&amp;adv=true&amp;cid=61b0789168263a7b06eb4a93&amp;sid=true</t>
  </si>
  <si>
    <t>The agent failed to retrieve the available Free Digital Info Kit option, which serves as the current catalog alternative. All cited links routed to the homepage and provided no supporting information. This is a knowledge retrieval and citation routing failure.</t>
  </si>
  <si>
    <t>Stated FAQ does not provide information about obtaining a catalog. Suggested contacting customer support for further inquiries.</t>
  </si>
  <si>
    <t>Customers can request a Free Digital Info Kit here: https://www.cyclonerake.com/free-digital-info-kit/ and https://cyclopedia.cyclonerake.com/docs/get-started-with-our-free-digital-info-kit</t>
  </si>
  <si>
    <t>Advised using soapy water as lubricant, warming hose in warm water to increase flexibility, and twisting while pushing onto collar. Referenced installation video resource.</t>
  </si>
  <si>
    <t>Installation guidance was accurate and properly sourced from Cyclopedia. Clear, actionable steps were provided.</t>
  </si>
  <si>
    <t>Use soapy water as lubricant, warm hose for flexibility, and twist while installing onto collar. Refer to installation video for visual guidance.</t>
  </si>
  <si>
    <t>Do I need to deflect my exhaust on my zero turn bad boy MZ Magnum 54"?</t>
  </si>
  <si>
    <t>The agent initiated model identification by asking for bag color, bag shape, blower color, and intake size, but entered a repeated blocked state due to an internal 7-inch versus 8-inch conflict and failed to confirm the 104 – Commercial PRO model or provide the requested wheel kit part number.</t>
  </si>
  <si>
    <t>Yes, you will need to deflect the exhaust on your Bad Boy MZ Magnum 54" when connecting it to a Cyclone Rake. Here are the details: ### Hitch and Exhaust Information: - **Hitch Model:** [208-090A](https://www.cyclonerake.com/hitch-bar-90-deg-w-hardware) (Aftermarket: [208-090XA](https://www.cyclonerake.com/hitch-bar-90-deg-w-long-bolts)) - **MDA:** [230](https://www.cyclonerake.com/mower-deck-adapter-8-inch-green) (Aftermarket: [A230](https://www.cyclonerake.com/230-uncut-green-mda-to-8-inch-hosea230)) - **Rubber Collar Kit:** [250](https://www.cyclonerake.com/rubber-collar-8-inch) - **Hose:** [306JP](https://www.cyclonerake.com/pvc-hose2) (Aftermarket: [RPVC-08-06](https://www.cyclonerake.com/pvc-hose-8in-dia-x-6ft)) - **Upgrade Hose:** [306UJP](https://www.cyclonerake.com/urethane-hose2) (Aftermarket: [RPUR-08-06](https://www.cyclonerake.com/ure-hose-8in-dia-x-6ft)) ### Installation Flags: - **Deck opening measurements required:** No - **MDA pre-cut:** No - **Customer deck drilling required:** Yes - **Exhaust deflection needed:** Yes - **Compatible with Comm Pro / XL / Z-10:** Yes ### Sources: - [Bad Boy MZ Magnum 54 - Commander](https://www.cyclonerake.com/mower-deck-adapter-8-inch-green) - [Bad Boy MZ Magnum 54 - Classic](https://www.cyclonerake.com/classic-mower-deck-adapters-to-7-inch-hose) - [Bad Boy MZ Magnum 54 - Commercial Pro CRS](https://www.cyclonerake.com/mower-deck-adapter-8-inch-green) If you have any more questions or need further assistance, feel free to ask!</t>
  </si>
  <si>
    <t>The customer clearly stated the model as a 104 – Commercial PRO and confirmed a 7-inch configuration, which should have been sufficient to proceed directly to the wheel kit information. Instead, the system became stuck in model-matching logic and did not provide the requested part number, resulting in no resolution.</t>
  </si>
  <si>
    <t>No links work for provided part numbers although it gave the right answer for deflecting the exhaust</t>
  </si>
  <si>
    <t>correct answer to my question but links don't work for the part numbers</t>
  </si>
  <si>
    <t>The customer clearly stated the model as a 104 – Commercial PRO and confirmed a 7-inch configuration, which should have been sufficient to proceed directly to the wheel kit information. Instead, the system became stuck in model-matching logic and did not provide the requested part number, resulting in no resolution</t>
  </si>
  <si>
    <t>Stated the FAQ does not specify accepted payment options. Suggested contacting customer support for accurate information.</t>
  </si>
  <si>
    <t>The agent failed to retrieve clearly published payment information available on both the website and Cyclopedia. All cited links routed to the homepage and provided no supporting information. This is a knowledge retrieval and citation routing failure.</t>
  </si>
  <si>
    <t>Accepted payment options: Visa, MasterCard, Discover, American Express, and Check. NET30 and Financing options may also be available. Sources: https://www.cyclonerake.com/shipping-payments-returns  and https://cyclopedia.cyclonerake.com/docs/payments</t>
  </si>
  <si>
    <t>Said the FAQ doesn’t provide info on applying for tax exemption and advised contacting support for guidance.</t>
  </si>
  <si>
    <t>The agent missed an existing Cyclopedia article that explains the tax exemption process. Source links also routed to the website homepage and didn’t support the answer. This is a knowledge retrieval + citation routing failure</t>
  </si>
  <si>
    <t>Follow the tax exemption process outlined here: https://cyclopedia.cyclonerake.com/docs/net30-terms-and-tax-exemption-processing</t>
  </si>
  <si>
    <t>The agent initiated model identification despite the customer clearly stating 111 – XL, asked for bag shape, bag color, blower color, and intake size, then entered a blocked state due to an internal 7-inch versus 8-inch conflict and failed to provide the requested collector frame part number.</t>
  </si>
  <si>
    <t>The model was clearly provided as 111 – XL, and the configuration (tapered black bag, 8-inch system, yellow blower) aligns with the XL platform. Instead of proceeding directly to the collector frame information, the system became stuck in incorrect model comparison logic and did not provide the correct part. No resolution was delivered.</t>
  </si>
  <si>
    <t>The correct collector frame for a 111 – XL is Collector Frame – Black – XL &amp; Z-10 (Key #234b, Part #02-03-2213). Purchase link: https://www.cyclonerake.com/collector-unit-8</t>
  </si>
  <si>
    <t>The agent initiated model identification by requesting bag color, bag shape, blower color, and intake size even though the model 111 – XL was already stated, then entered a blocked state due to an internal 7-inch versus 8-inch intake conflict and failed to provide any blower rebuild kit options.</t>
  </si>
  <si>
    <t>he model was clearly identified as a 111 – XL with an 8-inch system and yellow blower, which should have been sufficient to proceed directly to the correct blower rebuild kit options. Instead, the system incorrectly compared against 7-inch models (102/104), became blocked, and did not provide any part numbers, leaving the customer without an answer.</t>
  </si>
  <si>
    <t>The blower rebuild kit options for a 111 – XL are 05-04-500 (Standard Liner), 05-04-550 (BDL), 05-04-500E (Standard Liner with E-Start), and 05-04-550E (BDL with E-Start), with selection depending on whether the unit has electric start and which liner configuration is required.</t>
  </si>
  <si>
    <t>The agent initiated model identification despite the customer clearly stating 106 – Commander Pro, requested bag shape and intake size, then entered a blocked state due to an internal 7-inch versus 8-inch conflict and failed to provide the requested exit chute part number.</t>
  </si>
  <si>
    <t>The model was clearly provided as 106 – Commander Pro, and after confirming the 8-inch configuration, the agent should have proceeded directly to the correct exit chute information. Instead, the system became stuck in incorrect model comparison logic and did not provide the part number, leaving the request unresolved.</t>
  </si>
  <si>
    <t>The correct exit chute for a 106 – Commander Pro is Exit Chute Complete with Latches – Classic &amp; Commander (Green), Key 003c, Part #01-02-077, available here: https://www.cyclonerake.com/blower-unit-replacement-parts-2</t>
  </si>
  <si>
    <t>I bought a Commander about five years ago and I think it has the 6.5HP engine. It’s been sitting all winter and now it won’t start. I probably need a tune-up kit and maybe a spark plug — which parts should I order?</t>
  </si>
  <si>
    <t>I’m looking at the CRS Commander but I have a Cub Cadet Ultima zero turn, 50-inch deck. Will the CRS single-pin system work with that mower? And does it come with the premium hose or is that extra?</t>
  </si>
  <si>
    <t>I have a Husqvarna TS 354XD, 54-inch deck. I want the most powerful unit you offer because we get heavy wet leaves. Would the Z-10 be too much? And does it come standard with electric start?</t>
  </si>
  <si>
    <t>What's your Warranty?</t>
  </si>
  <si>
    <t>I purchased an Estate Vacuum last fall but barely used it. I’m thinking of returning it — is that still within your return window? At the same time, I need a new collector bag for my Classic.</t>
  </si>
  <si>
    <t>My XL’s electric start stopped working. The battery is fully charged, but nothing happens when I turn the key. Could it be the solenoid or starter? I’m not sure which part number I need.</t>
  </si>
  <si>
    <t>I bought my Cyclone Rake secondhand, and I don’t know which model it is. The bag is pretty large and the engine says 8HP Vanguard. How can I identify the model so I can order the correct impeller?</t>
  </si>
  <si>
    <t>I’ve got a 2022 Toro TimeCutter 42-inch zero turn. I want something easy to store because my garage is tight. Which model folds up the smallest? Also, do I need a special hitch kit?</t>
  </si>
  <si>
    <t>My mower deck is 46 inches but it discharges out the back instead of the side. Can I still use a Cyclone Rake? If so, which adapter kit would I need?</t>
  </si>
  <si>
    <t>I’m thinking about upgrading my standard PVC hose to the urethane one I’ve heard about. Is that compatible with a Classic model? And do I need to change the collar too?</t>
  </si>
  <si>
    <t>My Commercial PRO impeller hit a rock and now it’s vibrating badly. Can I replace just the impeller, or do I need the whole blower housing kit?</t>
  </si>
  <si>
    <t>Stated there is no retrofit kit for the Vanguard 6.5 HP Cyclonic on the 110 – Commercial Pro*, and instead provided EMK part number 213</t>
  </si>
  <si>
    <t>The agent initiated model verification despite the customer clearly stating 101 – Standard Complete Platinum with a Tecumseh 5 HP engine, requested intake confirmation, entered a repeated blocked state due to an internal intake mismatch, and failed to provide guidance regarding air filter availability for the Tecumseh engine.</t>
  </si>
  <si>
    <t>The customer clearly identified the model and engine type, so additional model verification was unnecessary. The agent should have recognized that Tecumseh engines are no longer supported with replacement parts and provided the appropriate guidance instead of remaining stuck in identification logic. No useful resolution or direction was given.</t>
  </si>
  <si>
    <t>I have a Craftsman T2400, 46-inch deck. I’m torn between the Classic and the Commander. We have about an acre with mostly maple leaves. Which would you recommend?</t>
  </si>
  <si>
    <t>Since Tecumseh closed their doors in February 2009, replacement engine parts such as air filters are no longer supplied directly. However, guidance and cross-reference information can be found here: https://cyclopedia.cyclonerake.com/docs/tecumseh-engines-troubleshooting-and-parts-information?highlight=Tecumseh%20air%20filter</t>
  </si>
  <si>
    <t>The agent again confused “retrofit/upgrade kit” with an engine maintenance kit. A specific upgrade kit does exist and is listed on the website for the Commercial Pro.</t>
  </si>
  <si>
    <t>Yes — 6.5 HP Vanguard Cyclonic Upgrade Kit, Part # 01-04-306. Source: https://www.cyclonerake.com/store/owners-marketplace/parts/cyclone-rake-commercial-pro-1/engines/pull-cord-engine/</t>
  </si>
  <si>
    <t>My Power Unloader won’t lift the collector anymore. It makes a noise but doesn’t move. Could that be the actuator? And is that covered under warranty?</t>
  </si>
  <si>
    <t>I’m planning to place an order today for a Commander. If I order now, when should I expect it to ship? I’m in Pennsylvania.</t>
  </si>
  <si>
    <t>I’ve got an older Classic and want to upgrade to a larger collector bag if possible. Can I swap bags between models, or are they specific to each one?</t>
  </si>
  <si>
    <t>My mower lifts slightly in the front when I attach the Cyclone Rake. Is that normal? Do I need front weights, or is my hitch adjusted wrong?</t>
  </si>
  <si>
    <t>I need a replacement band clamp for the hose connection on my Z-10. I don’t see it listed clearly on the site — is that sold individually?</t>
  </si>
  <si>
    <t>I’m considering switching from my dual-pin Commander to a CRS model. Would I need a completely different hitch setup, and can I reuse my current collector?</t>
  </si>
  <si>
    <t>Is the MDA for the John Deere L130 Pre cut?</t>
  </si>
  <si>
    <t>Hi, I have a 2019 Simplicity Broadmoor with a 44-inch deck. I’m not sure which Cyclone Rake model would be the right match. Also, I’ll probably need the correct mower deck adapter kit — can you point me in the right direction?</t>
  </si>
  <si>
    <t>My Z-10 has been great, but lately it feels like suction has dropped off. The hose looks fine. Could it be the impeller or maybe a clog somewhere in the blower housing? What parts should I be checking?</t>
  </si>
  <si>
    <t>Yes, the MDA (Mower Deck Adapter) for the John Deere L130 with a 48-inch deck is pre-cut. Here are the details: - **MDA Model:** [230E](https://www.cyclonerake.com/230e-mda-e-8in-grn) (Aftermarket: [A230E](https://www.cyclonerake.com/230e-custom-cut-green-mda-to-8-inch-hosea230e)) - **Pre-Cut Status:** Yes - **Hitch Model:** [208-090](https://www.cyclonerake.com/cyclone-rake-hitches208-090-90-degree-hitch-bar208-090) (Aftermarket: [208-090A](https://www.cyclonerake.com/hitch-bar-90-deg-w-hardware)) If you have any more questions or need further assistance, feel free to ask!</t>
  </si>
  <si>
    <t>Only aftermarket link for MDA works.</t>
  </si>
  <si>
    <t>Which clues can help you identify which Cyclone Rake model you own, including older and used units? I have older unit that I purchased secondhand.</t>
  </si>
  <si>
    <t>Correct part number but only link for aftermarket MDA works.</t>
  </si>
  <si>
    <t>I ordered a Commander last week and just realized I forgot to add the 3rd wheel jack stand. Can I add that to my order before it ships?</t>
  </si>
  <si>
    <t>I have a John Deere S240, 48-inch deck, and I store my equipment in a small shed. Which model would give me strong performance but still fold up compactly for storage?</t>
  </si>
  <si>
    <t>My electric start works sometimes and sometimes just clicks. The battery is new. Do I need a new starter motor, solenoid, or ignition switch?</t>
  </si>
  <si>
    <t>What are the size differences between Classic, Commander, and Commercial Pro collector bags? How much do they hold?</t>
  </si>
  <si>
    <t>Why might a Cyclone Rake’s wheels shake or wobble? Mine seem to do it alot. Do I need to replace the tires?</t>
  </si>
  <si>
    <t>I have about 2 acres and mostly heavy oak and hickory leaves. I’m debating between the Commander and the Commercial PRO. I don’t want to overbuy, but I also don’t want to regret going too small.</t>
  </si>
  <si>
    <t>I bought a replacement collector bag for my Classic but I’m not sure if it came with all the internal support rods. Are those sold separately if I’m missing one?</t>
  </si>
  <si>
    <t>I’m looking to upgrade my hose to the premium urethane version. I currently have an 8-inch system — do I need a different collar or clamp with the upgraded hose?</t>
  </si>
  <si>
    <t>I received my Estate Vacuum and the quick-connect fitting seems tight going onto my hose. Is that normal, or do I possibly have the wrong size attachment?</t>
  </si>
  <si>
    <t>I have an older Cub Cadet LT1042, 42-inch deck. I want to buy a Cyclone Rake but I’m not sure if my mower has enough power to handle one. How do I know if it’s compatible?</t>
  </si>
  <si>
    <t>Hi, I’m assembling my new Commander and I’m stuck on the frame section. The support rods don’t seem to line up with the collector bag openings. Am I missing a step?</t>
  </si>
  <si>
    <t>I just received my Classic and I’m trying to attach the blower unit to the chassis, but the mounting knobs won’t tighten fully. Is there a trick to lining that up correctly?</t>
  </si>
  <si>
    <t>I’m putting together my CRS model and I’m confused about the single-pin hitch connection. It doesn’t look like the diagrams in the manual. Could I have installed something backwards?</t>
  </si>
  <si>
    <t>I’m at the step where I attach the hose between the mower deck adapter and the blower, but it feels too short when I turn the mower. Did I route it wrong?</t>
  </si>
  <si>
    <t>I just finished assembly and when I start mowing, the mower deck adapter seems to rub slightly against the tire. Could that mean I mounted the adapter plate wrong?</t>
  </si>
  <si>
    <t>Hi, I’m rebuilding an older Classic that’s been sitting for years. I know I need a new collector bag, but I’m also missing a couple of the internal support rods and one caster wheel. Can you help me figure out exactly which parts I need to order?</t>
  </si>
  <si>
    <t>I damaged my blower housing when I hit a chunk of wood, and now the impeller is bent too. Do I need to replace the entire blower assembly, or can I just order the housing and impeller separately? I also probably need new mounting knobs.</t>
  </si>
  <si>
    <t>I just bought a used Commander and it didn’t come with the mower deck adapter or the hose. I’ve got a 48-inch John Deere deck. What all do I need to buy to get this fully operational?</t>
  </si>
  <si>
    <t>My Z-10 electric start isn’t working, and while I’m fixing that I’d like to do a full tune-up. I’m guessing I’ll need a battery, maybe a starter or solenoid, plus the air filter and spark plug. Can you help me make sure I’m ordering the correct parts?</t>
  </si>
  <si>
    <t>I’m upgrading my Classic with the premium urethane hose and also adding the Estate Vacuum. Do I need a different collar, extra clamps, or any additional fittings to make everything compatible?</t>
  </si>
  <si>
    <t>I’ve got an older XL and I’m refreshing it before fall. I need a new collector bag, both caster wheels, and I think the axle hardware too because one side is wobbling. Can you help me make sure I get everything in one order?</t>
  </si>
  <si>
    <t>My Commercial PRO lost suction and after checking it over, I think I need a new impeller, blower housing gasket, and possibly a replacement hose because mine has a tear near the collar. What parts should I be looking at?</t>
  </si>
  <si>
    <t>I’m restoring a used Classic and it’s missing the entire hitch assembly and the front jack stand. I also noticed the hose clamps are stripped. Can you tell me all the components I’ll need to get it fully operational?</t>
  </si>
  <si>
    <t>My Commander’s collector frame is bent and one of the cross supports cracked. While replacing that, I’d also like to install a new bag and fresh band clamps. Can you help me build the right parts list?</t>
  </si>
  <si>
    <t xml:space="preserve">Can I return something that I bought 4 months ago? What fee might apply when returning aftermarket parts and accessories? </t>
  </si>
  <si>
    <t>I want to convert my manual-start 8HP unit to electric start. I’m guessing I’ll need more than just a battery — probably a starter, wiring harness, and ignition switch? What exactly is required?</t>
  </si>
  <si>
    <t>What common causes are listed for a Briggs &amp; Stratton engine that won’t run smoothly? Mine engine seems to back fire a lot. Do I need a new one?</t>
  </si>
  <si>
    <t>What is the difference between PVC and Urethane? I want to buy a Power Vacuum Pickup but not sure which to buy. I want to use it to clear leaves from our mulch.</t>
  </si>
  <si>
    <t>What is the Blue Diamond Liner? How do I know if I need it?</t>
  </si>
  <si>
    <t>Hi, I just bought a 2024 John Deere S130 with a 42-inch deck. I need to order whatever hitch setup, hose, and mower deck adapter kit are required to make a Commander work with it. What do I need?</t>
  </si>
  <si>
    <t>I recently upgraded to a Husqvarna TS 248XD, 48-inch deck. I already own a Classic, but I know I’ll need a new hitch plate, hose length, and mower deck adapter. Can you help me get the correct pieces?</t>
  </si>
  <si>
    <t>I picked up a Cub Cadet XT2 GX54 with a 54-inch deck. I want to make sure I order the right hitch configuration, correct hose diameter, and proper mower deck adapter kit for a Z-10. What should I select? I also need to get an engine maintainance kit too.</t>
  </si>
  <si>
    <t>I just bought a Toro Titan zero turn, 50-inch deck. I’m planning to purchase a CRS model and want to confirm which single-pin hitch, hose setup, and deck adapter kit I’ll need to make everything compatible.</t>
  </si>
  <si>
    <t>Hi, I need a new hose for my unit. Mine split near the end. Can you tell me which one to order?</t>
  </si>
  <si>
    <t>I’m missing a bracket that connects everything to the mower. I don’t know what it’s called, but I need that part.</t>
  </si>
  <si>
    <t>The agent initiated model identification despite the customer clearly stating 106 – Commander Pro, requested bag and intake details, became stuck in a 7-inch versus 8-inch intake conflict, and failed to answer whether the Power Unloader is compatible.</t>
  </si>
  <si>
    <t>Identified engine as Vanguard 8 HP – 19L132-0110-F1. Noted Canister filter, typical use on 111 – XL, 8" hose, yellow blower, air filter 01-01-1908, EMK 231.</t>
  </si>
  <si>
    <t>The model was clearly identified as a 106 – Commander Pro and the intake confirmed as 8 inches, which should have been sufficient to address compatibility. Instead, the system compared against incorrect 7-inch models and entered a blocked state, providing no answer regarding the Power Unloader attachment. Even after confirming 8'' hose</t>
  </si>
  <si>
    <t>Hi, I’ve got 3 acres covered in wet oak leaves and rain is coming again tomorrow. My Commander won’t start and I need whatever parts will fix it ASAP. If I order today, when will it ship?</t>
  </si>
  <si>
    <t>Yes, the Power Unloader works with a 106 – Commander Pro. The correct options are Key 477a – Part #226 (Power Unloader – Green, PVC hose) and Key 477b – Part #215 (Power Unloader – Green, Urethane hose). Purchase link: https://www.cyclonerake.com/power-unloader-commander</t>
  </si>
  <si>
    <t>I’ve got customers lined up this weekend and my Commercial PRO suction suddenly dropped. Could be the hose, could be the impeller — I just need to know what parts to order today.</t>
  </si>
  <si>
    <t>I need to return an accessory and reorder the correct one immediately. It’s peak season and I can’t afford downtime. Can this be handled at the same time?</t>
  </si>
  <si>
    <t>Engine identification correctly matched approximate 8 HP description and Canister filter configuration.</t>
  </si>
  <si>
    <t>Can I convert my dual pin Commander to a single pin? What would I need to buy?</t>
  </si>
  <si>
    <t>First return was a fail, it gave the same answer as the previous question...Vanguard 8 HP – 19L132-0110-F1</t>
  </si>
  <si>
    <t>My Cyclone Rake just arrived today and the blower housing has a noticeable crack in it. The box looked a little rough when it showed up. I need this up and running fast — what do I do next?</t>
  </si>
  <si>
    <t>I received my Commander this afternoon and one of the caster wheels is bent and won’t roll properly. I’ve got leaves piling up already. Can you help me get a replacement sent out right away?</t>
  </si>
  <si>
    <t>Stated that the 101 – Standard Complete Platinum with a Tecumseh 5 HP was sold from 1997 to 2004.</t>
  </si>
  <si>
    <t>Date range aligns with documented engine and product line history.</t>
  </si>
  <si>
    <t>My Classic starts fine but the suction feels really weak, even after I cleared the hose. Could the impeller be worn down? If so, which replacement should I order?"</t>
  </si>
  <si>
    <t>1997–2004</t>
  </si>
  <si>
    <t>I’m getting a lot of vibration from the blower area after hitting a small rock. It still runs, but it doesn’t sound right. Would that mean I need a new impeller, or could it be something else I should check first?</t>
  </si>
  <si>
    <t>I own an UTV and want to connect to my Commander. How do I do that? I had it hooked up to a JD D130 before this. Do I need anything special to be able to pick up piles of leaves?</t>
  </si>
  <si>
    <t>Stated that the Vanguard 6.5 HP Phase II has been discontinued. Noted it was in use from October 2010 until Fall 2019.</t>
  </si>
  <si>
    <t>I own a Commander with an XR-950 engine, what is the part number for a new impeller? Do I need an special tools to install it?</t>
  </si>
  <si>
    <t>Discontinuation status and usage timeframe align with documented engine history.</t>
  </si>
  <si>
    <t>Discontinued. In use October 2010 – Fall 2019.</t>
  </si>
  <si>
    <t>I just bought a scag cheetah 61". What rake is it compatible with</t>
  </si>
  <si>
    <t>he agent initiated a full model identification process by requesting bag color, shape, blower color, and intake size even though the customer clearly stated 101 – Standard Complete Platinum, then became stuck in a 7-inch versus 8-inch intake conflict and failed to provide any information about the roof rack carrier.</t>
  </si>
  <si>
    <t>The model was clearly identified as a 101 – Standard Complete Platinum, so additional identification steps were unnecessary. The agent remained blocked in model-matching logic and did not answer whether a roof rack carrier is available or provide the correct part number, resulting in no resolution.</t>
  </si>
  <si>
    <t>Hi, I need a new vacuum motor for my Cyclone Rake. The big spinning thing inside isn’t working right anymore.</t>
  </si>
  <si>
    <t>Yes, a roof rack carrier is available for a 101 – Standard Complete Platinum. The correct part is Key #041a – Part #204 – Roof Rack Carrier – Classic, available here: https://www.cyclonerake.com/roof-rack-carrier-classic</t>
  </si>
  <si>
    <t>Your Scag Cheetah 61" is compatible with the following Cyclone Rake models: ### Recommended Cyclone Rake Models: 1. **Commander** - **MDA:** [230-004](https://www.cyclonerake.com/mda5457) (Aftermarket: [A230-004](https://www.cyclonerake.com/230-004-uncut-green-mda-to-8-inch-hosea230-004)) - **Hitch:** [208-090](https://www.cyclonerake.com/cyclone-rake-hitches208-090-90-degree-hitch-bar208-090) (Aftermarket: [208-090A](https://www.cyclonerake.com/hitch-bar-90-deg-w-hardware)) - **Hose:** [306JP](https://www.cyclonerake.com/pvc-hose2) (Aftermarket: [RPVC-08-06](https://www.cyclonerake.com/pvc-hose-8in-dia-x-6ft)) - **Upgrade Hose:** [306UJP](https://www.cyclonerake.com/urethane-hose2) (Aftermarket: [RPUR-08-06](https://www.cyclonerake.com/ure-hose-8in-dia-x-6ft)) 2. **Classic** - **MDA:** [206-004](https://www.cyclonerake.com/206-004-uncut-green-classic-mda-to-7-inch-hose) (Aftermarket: [A206-004](https://www.cyclonerake.com/206-004-uncut-green-classic-mda-to-7-inch-hosea206-004)) - **Hitch:** [208-090](https://www.cyclonerake.com/cyclone-rake-hitches208-090-90-degree-hitch-bar208-090) (Aftermarket: [208-090A](https://www.cyclonerake.com/hitch-bar-90-deg-w-hardware)) - **Hose:** [310](https://www.cyclonerake.com/pvc-hose9) (Aftermarket: [RPVC-07-10](https://www.cyclonerake.com/pvc-hose-7in-dia-x-10ft)) - **Upgrade Hose:** [310U](https://www.cyclonerake.com/urethane-hose22) (Aftermarket: [RPUR-07-10](https://www.cyclonerake.com/ure-hose-7in-dia-x-10ft)) 3. **Commander CRS** - **MDA:** [230-004](https://www.cyclonerake.com/mda5457) (Aftermarket: [A230-004](https://www.cyclonerake.com/230-004-uncut-green-mda-to-8-inch-hosea230-004)) - **Hitch:** [208-090](https://www.cyclonerake.com/cyclone-rake-hitches208-090-90-degree-hitch-bar208-090) (Aftermarket: [208-090A](https://www.cyclonerake.com/hitch-bar-90-deg-w-hardware)) - **Upgrade Hose:** [310UJP](https://www.cyclonerake.com/urethane-hose16) (Aftermarket: [RPUR-08-10](https://www.cyclonerake.com/ure-hose-8in-dia-x-10ft)) 4. **Commercial Pro** - **MDA:** [230-004](https://www.cyclonerake.com/mda5457) (Aftermarket: [A230-004](https://www.cyclonerake.com/230-004-uncut-green-mda-to-8-inch-hosea230-004)) - **Hitch:** [208-090](https://www.cyclonerake.com/cyclone-rake-hitches208-090-90-degree-hitch-bar208-090) (Aftermarket: [208-090A](https://www.cyclonerake.com/hitch-bar-90-deg-w-hardware)) - **Hose:** [306JP](https://www.cyclonerake.com/pvc-hose2) (Aftermarket: [RPVC-08-06](https://www.cyclonerake.com/pvc-hose-8in-dia-x-6ft)) - **Upgrade Hose:** [306UJP](https://www.cyclonerake.com/urethane-hose2) (Aftermarket: [RPUR-08-06](https://www.cyclonerake.com/ure-hose-8in-dia-x-6ft)) ### Installation Flags: - **Deck opening measurements required:** No - **MDA pre-cut:** No - **Customer deck drilling required:** Yes - **Exhaust deflection needed:** No - **Compatible with Comm Pro / XL / Z-10:** Yes ### Sources: - [Scag Cheetah 61 - Commander](https://www.cyclonerake.com/mda5457) - [Scag Cheetah 61 - Classic](https://www.cyclonerake.com/206-004-uncut-green-classic-mda-to-7-inch-hose) - [Scag Cheetah 61 - Commander CRS](https://www.cyclonerake.com/mda5457) - [Scag Cheetah 61 - Commercial Pro](https://www.cyclonerake.com/mda5457) If you have any more questions or need further assistance, feel free to ask!</t>
  </si>
  <si>
    <t>I need to replace the lift motor for the back dump thing. It’s not raising the bin anymore.</t>
  </si>
  <si>
    <t>Only links for aftermarket hitch and MDA work</t>
  </si>
  <si>
    <t>I own a Commander model and need a new collector bag. Could you point me to the correct replacement and provide the instruction sheet for installing it?</t>
  </si>
  <si>
    <t>Stated that the Intek 7 HP engine has 7 horsepower.</t>
  </si>
  <si>
    <t>The horsepower value is correct. However, no supporting documentation link was provided. The agent should have cited the Engine History Chart for verification consistency.</t>
  </si>
  <si>
    <t>7 HP. Source: https://cyclopedia.cyclonerake.com/docs/engine-history-chart</t>
  </si>
  <si>
    <t>Engine identification, specifications, and retrofit kit reference were accurate and aligned with engine history data.</t>
  </si>
  <si>
    <t>XR 950 – 130G32-0184-F1 with associated specs and maintenance kit 213XR.</t>
  </si>
  <si>
    <t>The agent initiated model verification despite the customer clearly stating 101 – Standard Complete Platinum with an XR950 engine, requested intake confirmation, became stuck in a 7-inch versus 8-inch intake conflict, and failed to provide the requested air filter part number.</t>
  </si>
  <si>
    <t>The customer clearly identified both the model (101 – Standard Complete Platinum) and the engine (XR950), which is sufficient to determine the correct air filter. Additional intake verification was unnecessary. The agent failed to move past internal model-matching logic and did not provide the correct part number, resulting in no resolution.</t>
  </si>
  <si>
    <t>The correct air filter for a 101 – Standard Complete Platinum with an XR950 engine is Key #584 – Part #01-01-2116 – Air Filter for XR950, available here: https://www.cyclonerake.com/xr950-and-cyclonic-engines?pagenumber=3</t>
  </si>
  <si>
    <t>Do you need pictures of my Allis Chalmers 5020 to confirm compatibility for a CRS?</t>
  </si>
  <si>
    <t>Engine identification, specifications, and maintenance kit were accurate and aligned with engine history data.</t>
  </si>
  <si>
    <t>Vanguard 6.5 HP Cyclonic – 12V332-0136-F1 with associated specs and maintenance kit 213VG.</t>
  </si>
  <si>
    <t>It appears that there are no specific fitment details available for the Allis Chalmers 5020 with a 60-inch deck in the database. Pictures of your tractor may help, but the most critical information needed for confirming compatibility with a CRS (Cyclone Rake System) includes the make, model, and deck size.</t>
  </si>
  <si>
    <t>Pictures are needed of the rear to confirm single point mount.</t>
  </si>
  <si>
    <t>Need pictures of rear to confirm single point mount.</t>
  </si>
  <si>
    <t>The agent initiated a full model identification process by requesting bag color, bag shape, blower color, and intake size even though the customer clearly stated 101 – Standard Complete Platinum, then became stuck in a repeated 7-inch versus 8-inch intake conflict and failed to answer the compatibility question.</t>
  </si>
  <si>
    <t>The model was clearly identified as a 101 – Standard Complete Platinum, and the question was about deck hose compatibility, not model identification. Instead of directly confirming the hose size and whether it matches older models, the agent remained stuck in verification logic and did not provide a clear answer. The 101 through 105 models all use the same 7-inch deck hose system.</t>
  </si>
  <si>
    <t>Yes, the 101 – Standard Complete Platinum uses the same 7-inch deck hose system as the older 101–105 models.</t>
  </si>
  <si>
    <t>Engine identification and specifications were correct. However, the production window for the 106 Commander Pro was overstated. The Intek 6 HP in this model was only used Sept 2006 – Aug 2007, not starting in 2005. This is a production date accuracy issue specific to model pairing.</t>
  </si>
  <si>
    <t>Intek 6 HP – 121232-0115-E1 used in the 106 Commander Pro from Sept 2006 – Aug 2007.</t>
  </si>
  <si>
    <t>Stated it could help identify models but redirected to Catalog Parts agent for parts. Asked again for bag color and shape despite bag color already being provided.</t>
  </si>
  <si>
    <t>The agent ignored provided information (Black bag + Vanguard 6.5HP Cyclonic) and redundantly requested details already supplied. It also prematurely redirected instead of narrowing possible models. Based on the Cyclonic engine configuration, it could have provided likely model options. This reflects poor context retention and decision logic.</t>
  </si>
  <si>
    <t>Possible models with Vanguard 6.5HP Cyclonic include: 102, 104, 107, 110. Additional physical details (bag shape, blower color, intake diameter) would narrow it further.</t>
  </si>
  <si>
    <t>The agent initiated a full model identification process by asking for bag color, shape, blower color, and intake size even though the customer clearly stated 102 – Commercial, then became stuck in a 7-inch versus 8-inch intake conflict and failed to answer whether the Estate Vac pickup is compatible.</t>
  </si>
  <si>
    <t>The model was clearly identified as a 102 – Commercial, so additional identification steps were unnecessary. The agent did not move forward to confirm compatibility or provide the Estate Vac part options. Instead, it remained blocked in model verification logic and did not deliver the requested accessory information.</t>
  </si>
  <si>
    <t>Yes, you can add an Estate Vacuum pickup to a 102 – Commercial. The correct options are Key 100a – Part #210 (Estate Vacuum – Classic with 6" PVC hose) and Key 100b – Part #219 (Estate Vacuum – Classic with 6" Urethane hose). Purchase link: https://www.cyclonerake.com/estate-vacuum-classic</t>
  </si>
  <si>
    <t>The agent failed to use the provided engine information. The Tecumseh 5 HP was only ever used on one model. Instead of narrowing immediately, it redundantly asked for bag details and redirected. This is a model history knowledge and reasoning failure.</t>
  </si>
  <si>
    <t>Model: 101 (only model that used the Tecumseh 5 HP engine). Replacement parts should be shown specific to the 101.</t>
  </si>
  <si>
    <t>Listed only Intek 6 HP (121232-0115-E1) and then repeated it, tied to two rake models (101 Standard Complete Platinum and 105 Classic*) as the “engine options with a green blower.”</t>
  </si>
  <si>
    <t>The question asked for engine options associated with a green blower, but the response provided just one engine and duplicated it, treating “engine options” like “examples of rakes.” A green blower spans multiple models/years with multiple engine configurations. The agent should have asked for more identifiers (model, date range, filter shape) or referenced the Product Line History Chart to list all applicable engines.</t>
  </si>
  <si>
    <t>Engine options with a green blower depend on model and timeframe; refer to the Product Line History Chart for the full mapping of blower color → model/year → engine. Source: https://cyclopedia.cyclonerake.com/docs/product-line-history-chart This was a coverage/scoping failure. The agent answered too narrowly (one engine repeated twice) and didn’t request the minimum extra info needed to correctly enumerate all green-blower engine options across product history.</t>
  </si>
  <si>
    <t>Stated it could help identify models but redirected to Catalog Parts agent. Asked again for bag color and shape despite bag color already being provided.</t>
  </si>
  <si>
    <t>The agent failed to use the provided engine information (Vanguard 6.5 Phase II) to narrow model possibilities. While additional physical details are needed, it should have identified likely models based on engine history instead of defaulting to redirection. This reflects incomplete reasoning rather than incorrect information.</t>
  </si>
  <si>
    <t>Vanguard 6.5 Phase II was standard on the 110 (10/2010–Fall 2019) and could also have been installed as a replacement on the 102 and 107. Additional physical details are required to narrow further.</t>
  </si>
  <si>
    <t>Provided correct impeller part number (02-03-018). Stated a hardware kit is needed for installation and referenced it separately.</t>
  </si>
  <si>
    <t>The impeller part number was correct. However, the hardware kit information was unnecessary because it is included with the impeller replacement kit. The response also failed to list the required installation tools or provide the installation instruction link. This is a completeness issue.</t>
  </si>
  <si>
    <t>02-03-018 – 4-Blade Yellow Impeller Replacement Kit (includes necessary hardware). No special proprietary tools required. Tools needed: 3/8" drive socket wrench with 6" and 3" extensions, 3/4" socket, 1/2" socket, small flat blade screwdriver, Phillips screwdriver, and a 2-foot wooden board (2x4). Installation instructions: https://www.cyclonerake.com/assets/PDFs/Replacement-Instructions/01-06-235%20S24%20Impeller%20Replacement-BS%20XR950%20or%20Cyclonic%20Inst.pdf</t>
  </si>
  <si>
    <t>Stated the Vanguard 6.5 HP Cyclonic on the 110 – Commercial Pro* was in use from Oct 2010 – Fall 2019.</t>
  </si>
  <si>
    <t>The response did not answer the question and referenced the wrong model (110 Commercial Pro instead of 101 Standard Complete Platinum). A 101 with a 6.5 HP Canister filter engine would indicate a replacement/upgrade configuration. The agent failed to identify that this is likely a retrofit scenario and did not reference the appropriate upgrade kit.</t>
  </si>
  <si>
    <t>Correctly identified part #240-011 – Uncut Yellow XL Mower Deck Adapter (8" hose). Stated it requires cutting to fit. Refused ability to mail a hard copy of installation guide.</t>
  </si>
  <si>
    <t>Part identification was correct. However, the agent incorrectly stated that a hard copy of the installation guide cannot be mailed. We can mail printed instructions upon request. The cutting guidance was incomplete — we specifically recommend using an electric jigsaw or keyhole saw. This is a service capability and completeness issue.</t>
  </si>
  <si>
    <t>Order #240-011 – Uncut Yellow XL Mower Deck Adapter (8" hose). We can mail a hard copy of the installation instructions upon request. Recommended cutting tools: electric jigsaw or keyhole saw.</t>
  </si>
  <si>
    <t>Stated that the Vanguard 6.5 HP Cyclonic on the 110 – Commercial Pro* uses an 8" deck hose.</t>
  </si>
  <si>
    <t>Deck hose size correctly matched to the engine/model configuration.</t>
  </si>
  <si>
    <t>8 inches</t>
  </si>
  <si>
    <t>Can i upgrade the hose on my commander cyclone rake?</t>
  </si>
  <si>
    <t>For a 101 – Standard Complete Platinum with a 6.5 HP Canister filter engine, this would be the 6.5 HP Vanguard Cyclonic Upgrade Kit – Part # 01-04-306. Source: https://www.cyclonerake.com/store/owners-marketplace/parts/cyclone-rake-classic-1/engines/xr950-and-cyclonic-engines/ this engine does not have a canister. This was both a model mismatch and a failure to recognize a retrofit scenario. Instead of identifying the likely upgrade engine for a 101, the agent referenced an unrelated model and timeframe. Proper logic should detect historical incompatibility and pivot to upgrade kit identification.</t>
  </si>
  <si>
    <t>Yes, you can upgrade the hose on your Commander Cyclone Rake. The upgrade hose options typically provide better durability and performance.</t>
  </si>
  <si>
    <t>Correctly identified replacement collector bag as part #03-03-308 (Commander, Velcro style). Stated it cannot provide a hard copy of the installation guide.</t>
  </si>
  <si>
    <t>Correct answer provided.</t>
  </si>
  <si>
    <t>Part identification was correct. However, the response mishandled the installation guide portion. The instructions already come with the collector bag, and we can also mail a hard copy if requested. Saying it cannot be provided was inaccurate.</t>
  </si>
  <si>
    <t>Part #03-03-308 – Commander Collector Bag (Velcro style). Installation instructions are included with the product and can also be mailed separately upon request.</t>
  </si>
  <si>
    <t>I have an XL model and need a replacement 011 mower deck adapter. Please let me know which one to order, and can you mail me a hard copy of the installation guide ahead of time instead of sending a link?</t>
  </si>
  <si>
    <t>I have a Cyclone Rake Classic, and I need to replace the impeller. Can you tell me which one I should order and send me the installation instructions efore I order it?</t>
  </si>
  <si>
    <t>I have a Husqvarna 1842 42", Is it compatible with all model cyclone rakes?</t>
  </si>
  <si>
    <t>Your Husqvarna 1842 with a 42-inch deck is compatible with the following Cyclone Rake models: 
### Recommended Cyclone Rake Models:
1. **Commander**
   - **MDA:** [230Y](https://www.cyclonerake.com/230y-mda-y-8in-grn) (Aftermarket: [A230Y](https://www.cyclonerake.com/230y-custom-cut-green-mda-to-8-inch-hosea230y))
   - **Hitch:** [208-090](https://www.cyclonerake.com/cyclone-rake-hitches208-090-90-degree-hitch-bar208-090) (Aftermarket: [208-090A](https://www.cyclonerake.com/hitch-bar-90-deg-w-hardware))
   - **Hose:** [304JP](https://www.cyclonerake.com/pvc-hose4) (Aftermarket: [RPVC-08-04](https://www.cyclonerake.com/pvc-hose-8in-dia-x-4ft))
   - **Upgrade Hose:** [304UJP](https://www.cyclonerake.com/urethane-hose6) (Aftermarket: [RPUR-08-04](https://www.cyclonerake.com/ure-hose-8in-dia-x-4ft))
2. **Classic**
   - **MDA:** [206Y](https://www.cyclonerake.com/206y-mda-y-7in) (Aftermarket: [A206Y](https://www.cyclonerake.com/206y-custom-cut-green-classic-mda-to-7-inch-hosea206y))
   - **Hitch:** [208-090](https://www.cyclonerake.com/cyclone-rake-hitches208-090-90-degree-hitch-bar208-090) (Aftermarket: [208-090A](https://www.cyclonerake.com/hitch-bar-90-deg-w-hardware))
   - **Hose:** [305](https://www.cyclonerake.com/pvc-hose) (Aftermarket: [RPVC-07-05](https://www.cyclonerake.com/pvc-hose-7in-dia-x-5ft))
   - **Upgrade Hose:** [305U](https://www.cyclonerake.com/urethane-hose) (Aftermarket: [RPUR-07-05](https://www.cyclonerake.com/ure-hose-7in-dia-x-5ft))
3. **Commander CRS**
   - **MDA:** [230Y](https://www.cyclonerake.com/230y-mda-y-8in-grn) (Aftermarket: [A230Y](https://www.cyclonerake.com/230y-custom-cut-green-mda-to-8-inch-hosea230y))
   - **Hitch:** [208-090](https://www.cyclonerake.com/cyclone-rake-hitches208-090-90-degree-hitch-bar208-090) (Aftermarket: [208-090A](https://www.cyclonerake.com/hitch-bar-90-deg-w-hardware))
   - **Upgrade Hose:** [307UJP](https://www.cyclonerake.com/307ujp-8in-x-7ft-urethane-hose) (Aftermarket: [RPUR-08-07](https://www.cyclonerake.com/ure-hose-8in-dia-x-7ftrpur-08-07))
4. **Commercial Pro**
   - **MDA:** [230Y](https://www.cyclonerake.com/230y-mda-y-8in-grn) (Aftermarket: [A230Y](https://www.cyclonerake.com/230y-custom-cut-green-mda-to-8-inch-hosea230y))
   - **Hitch:** [208-090](https://www.cyclonerake.com/cyclone-rake-hitches208-090-90-degree-hitch-bar208-090) (Aftermarket: [208-090A](https://www.cyclonerake.com/hitch-bar-90-deg-w-hardware))
   - **Hose:** [304JP](https://www.cyclonerake.com/pvc-hose4) (Aftermarket: [RPVC-08-04](https://www.cyclonerake.com/pvc-hose-8in-dia-x-4ft))
   - **Upgrade Hose:** [304UJP](https://www.cyclonerake.com/urethane-hose6) (Aftermarket: [RPUR-08-04](https://www.cyclonerake.com/ure-hose-8in-dia-x-4ft))
5. **Classic CRS**
   - **MDA:** [206Y](https://www.cyclonerake.com/206y-mda-y-7in) (Aftermarket: [A206Y](https://www.cyclonerake.com/206y-custom-cut-green-classic-mda-to-7-inch-hosea206y))
   - **Hitch:** [208-090](https://www.cyclonerake.com/cyclone-rake-hitches208-090-90-degree-hitch-bar208-090) (Aftermarket: [208-090A](https://www.cyclonerake.com/hitch-bar-90-deg-w-hardware))
   - **Hose:** [310](https://www.cyclonerake.com/pvc-hose9) (Aftermarket: [RPVC-07-10](https://www.cyclonerake.com/pvc-hose-7in-dia-x-10ft))
   - **Upgrade Hose:** [310U](https://www.cyclonerake.com/urethane-hose22) (Aftermarket: [RPUR-07-10](https://www.cyclonerake.com/ure-hose-7in-dia-x-10ft))
### Installation Flags:
- **Deck opening measurements required:** No
- **MDA pre-cut:** Yes
- **Customer deck drilling required:** No
- **Exhaust deflection needed:** No
- **Compatible with Comm Pro / XL / Z-10:** Yes
### Sources:
- [Husqvarna 1842 42 - Commander](https://www.cyclonerake.com/230y-mda-y-8in-grn)
- [Husqvarna 1842 42 - Classic](https://www.cyclonerake.com/206y-mda-y-7in)
- [Husqvarna 1842 42 - Commander CRS](https://www.cyclonerake.com/230y-mda-y-8in-grn)
- [Husqvarna 1842 42 - Commercial Pro](https://www.cyclonerake.com/230y-mda-y-8in-grn)
- [Husqvarna 1842 42 - Classic CRS](https://www.cyclonerake.com/206y-mda-y-7in)
If you have any more questions or need further assistance, feel free to ask!</t>
  </si>
  <si>
    <t>Provided compatibility for all CR models.</t>
  </si>
  <si>
    <t>Identified engine as Vanguard 6.5 HP Cyclonic – 12V332-0136-F1. Included specs (6.5 HP, “Cyclonic” filter), plus added a specific rake model (102 – Commercial), 7" hose, green blower, air filter 01-01-2147, EMK 213VG.</t>
  </si>
  <si>
    <t>Core identification (Vanguard 6.5 HP Cyclonic – 12V332-0136-F1) is correct based on “~6.5 HP + Cyclonic filter.” However, tying it to a specific rake model (102 – Commercial) is unnecessary and can be wrong/misleading without more customer details. No source link was provided to validate the mapping.</t>
  </si>
  <si>
    <t>Vanguard 6.5 HP Cyclonic – 12V332-0136-F1. (Avoid assigning a rake model without additional info.) Source: https://cyclopedia.cyclonerake.com/docs/engine-history-chart</t>
  </si>
  <si>
    <t>Listed Vanguard 8 HP (19L132-0110-F1) and Vanguard 10 HP (19L232-0110-F1) as engines using a Canister filter.</t>
  </si>
  <si>
    <t>While the 8 HP and 10 HP engines do use a Canister filter, the answer was incomplete. It failed to include additional engines that also use a Canister filter: B&amp;S Vanguard 6.5 HP Phase II (discontinued) and B&amp;S XR 950. This is a coverage/completeness issue.</t>
  </si>
  <si>
    <t>Recommended 4-Blade Yellow (#02-03-017) or 5-Blade Orange (#02-03-020) impeller for a Classic model. Stated it cannot send installation instructions directly.</t>
  </si>
  <si>
    <t>The agent provided part numbers without confirming the engine type. Impeller selection depends on the engine (e.g., XR950, 6.5HP Cyclonic, Phase I, etc.), so a part number cannot be confirmed without that detail. It also incorrectly stated it could not send installation instructions; we can provide the instruction link prior to purchase. This is a parts validation and service guidance failure.</t>
  </si>
  <si>
    <t>First confirm engine model before providing impeller part number. Then provide the correct impeller kit based on engine. Installation instructions can be sent via direct link prior to ordering.</t>
  </si>
  <si>
    <t>John Deere</t>
  </si>
  <si>
    <t>Z915E</t>
  </si>
  <si>
    <t>It did say it's comptaible but only recommended Classic and Commander, although it's compatible with all Rakes.</t>
  </si>
  <si>
    <t>Yes</t>
  </si>
  <si>
    <t>1023E</t>
  </si>
  <si>
    <t>Compatible with all rakes, but links are not working for the part numbers.</t>
  </si>
  <si>
    <t>Ferris</t>
  </si>
  <si>
    <t>300s</t>
  </si>
  <si>
    <t>It looks like I couldn't find any compatible Cyclone Rake models for your Ferris 300S with a 42-inch deck. This may require human review to verify the information or check for any potential updates in the database. Next step for rep: Please confirm the tractor details or provide any additional information you may have.</t>
  </si>
  <si>
    <t>TDB is a CAT 4 model</t>
  </si>
  <si>
    <t>Ariens</t>
  </si>
  <si>
    <t>Tractor fitment agent said it couldn't find any compatible Cyclone Rake</t>
  </si>
  <si>
    <t>TDB says compatible with all Rakes.</t>
  </si>
  <si>
    <t>Big Dog</t>
  </si>
  <si>
    <t>Alpha</t>
  </si>
  <si>
    <t>Only links for the MDA and Hitch work. Link for the hose only take you to the CR home page.</t>
  </si>
  <si>
    <t>Bobcat</t>
  </si>
  <si>
    <t>Links for MDA and Hitch are the only ones that work.</t>
  </si>
  <si>
    <t>Pro Cat</t>
  </si>
  <si>
    <t>Cub Cadet</t>
  </si>
  <si>
    <t>13AKA9TSA10</t>
  </si>
  <si>
    <t>Engines using a Canister filter include: Vanguard 6.5 HP Phase II (discontinued), XR 950, Vanguard 8 HP, and Vanguard 10 HP. Source: https://cyclopedia.cyclonerake.com/docs/engine-history-chart</t>
  </si>
  <si>
    <t>Dixon</t>
  </si>
  <si>
    <t>Craftsman</t>
  </si>
  <si>
    <t>Dixie Chopper</t>
  </si>
  <si>
    <t>BlackHawk</t>
  </si>
  <si>
    <t>Bush Hog</t>
  </si>
  <si>
    <t>CZ 2149</t>
  </si>
  <si>
    <t>Dewalt</t>
  </si>
  <si>
    <t>Z148</t>
  </si>
  <si>
    <t>Z254</t>
  </si>
  <si>
    <t>Husqvarna</t>
  </si>
  <si>
    <t>1542B</t>
  </si>
  <si>
    <t>EGO</t>
  </si>
  <si>
    <t>ZT4200S</t>
  </si>
  <si>
    <t xml:space="preserve">It appears that there are no compatible Cyclone Rake models for your EGO ZT4200S with a 42-inch deck. This may require human review to verify the information or check for any potential updates in the database. </t>
  </si>
  <si>
    <t>Toro</t>
  </si>
  <si>
    <t>Hustler</t>
  </si>
  <si>
    <t>Kubota</t>
  </si>
  <si>
    <t>400Z</t>
  </si>
  <si>
    <t>Wheel Horse</t>
  </si>
  <si>
    <t>314-8</t>
  </si>
  <si>
    <t>516H</t>
  </si>
  <si>
    <t>ATV ALL</t>
  </si>
  <si>
    <t>ATV W/Class 2 Receiver</t>
  </si>
  <si>
    <t>N/A</t>
  </si>
  <si>
    <t>Bad Boy</t>
  </si>
  <si>
    <t>Avenger</t>
  </si>
  <si>
    <t>Maverick HD</t>
  </si>
  <si>
    <t>Agway</t>
  </si>
  <si>
    <t>PANACHE 3</t>
  </si>
  <si>
    <t>AMF</t>
  </si>
  <si>
    <t>A-Series</t>
  </si>
  <si>
    <t>13APA1TEA10</t>
  </si>
  <si>
    <t>Identified EMK for Intek 6 HP (121232-0115-E1) as part number 01-02-200.</t>
  </si>
  <si>
    <t>Engine Maintenance Kit correctly matched to the Intek 6 HP engine.</t>
  </si>
  <si>
    <t>Encore</t>
  </si>
  <si>
    <t>248 ZTR</t>
  </si>
  <si>
    <t>Extreme</t>
  </si>
  <si>
    <t>Exmark</t>
  </si>
  <si>
    <t>Lazer Z AC</t>
  </si>
  <si>
    <t>Lazer Z E-Series</t>
  </si>
  <si>
    <t>Grasshopper</t>
  </si>
  <si>
    <t>327 EFI</t>
  </si>
  <si>
    <t>Great Dane</t>
  </si>
  <si>
    <t>Chariot</t>
  </si>
  <si>
    <t>Huskee</t>
  </si>
  <si>
    <t>13AB606H730</t>
  </si>
  <si>
    <t>Jonsered</t>
  </si>
  <si>
    <t>LT 17</t>
  </si>
  <si>
    <t>Ingersoll</t>
  </si>
  <si>
    <t>4016 (Right Hand Discharge)</t>
  </si>
  <si>
    <t>ZT5200L</t>
  </si>
  <si>
    <t>01-02-200</t>
  </si>
  <si>
    <t>Do I need to drill holes on my john deere L130 to attach the MDA?</t>
  </si>
  <si>
    <t>No, you do not need to drill holes on your John Deere L130 to attach the MDA (Mower Deck Adapter). Here are the details: 
- **MDA Model:** [230E](https://www.cyclonerake.com/230e-mda-e-8in-grn) (Aftermarket: [A230E](https://www.cyclonerake.com/230e-custom-cut-green-mda-to-8-inch-hosea230e))
- **Hitch Model:** [208-090](https://www.cyclonerake.com/cyclone-rake-hitches208-090-90-degree-hitch-bar208-090) (Aftermarket: [208-090A](https://www.cyclonerake.com/hitch-bar-90-deg-w-hardware))
- **Deck Opening Measurements Required:** No
- **MDA Pre-Cut:** Yes
- **Customer Deck Drilling Required:** No
- **Exhaust Deflection Needed:** No
If you have any more questions or need further assistance, feel free to ask!</t>
  </si>
  <si>
    <t>Correct information and part numbers provided</t>
  </si>
  <si>
    <t>Stated that the Vanguard E-Start 10 HP engine has 10 horsepower.</t>
  </si>
  <si>
    <t>Horsepower matches documented engine specification.</t>
  </si>
  <si>
    <t>Part numbers and links provided as well as answer to question</t>
  </si>
  <si>
    <t>10 HP</t>
  </si>
  <si>
    <t>Stated no specific information was found regarding referral rewards. Suggested checking the website or contacting customer support.</t>
  </si>
  <si>
    <t>The agent failed to retrieve clearly published referral program information available on both the website and Cyclopedia. It defaulted to escalation instead of providing the documented program details. This is a knowledge retrieval failure.</t>
  </si>
  <si>
    <t>Yes. We offer a referral program with rewards. Details available here: https://www.cyclonerake.com/referral-program
 and https://cyclopedia.cyclonerake.com/docs/cyclone-rake-referral-program-share-the-love-earn-rewards</t>
  </si>
  <si>
    <t>The agent processed the provided attributes (green straight 200-gallon bag, green blower, 7-inch intake, Tecumseh 5 HP engine) but repeatedly entered a blocked state due to an internal 7-inch versus 8-inch intake conflict and failed to identify the model or provide replacement part Catlog guidance.</t>
  </si>
  <si>
    <t>The configuration clearly aligns with a 101 – Standard (Straight Green 200-gallon bag, 7-inch system, Tecumseh 5 HP engine). The agent incorrectly compared the inputs against tapered black bag models and became stuck in intake validation logic instead of recognizing the early 101 configuration. As a result, the correct model was not identified and no replacement parts were provided.</t>
  </si>
  <si>
    <t>Recommended replacing with either the Power Lift Unloader (SKU 244) or Linear Actuator (01-01-1612). Provided pricing and model compatibility.</t>
  </si>
  <si>
    <t>The customer was already referring to the Power Lift Unloader but using informal terminology (“back dump thing”). The agent prematurely recommended purchasing replacement parts instead of first directing the customer to troubleshooting steps. Proper flow should begin with the troubleshooting guide to determine whether the issue is the actuator, wiring, switch, or another component before suggesting parts. This is a diagnostic flow failure.</t>
  </si>
  <si>
    <t>First provide the Power Lift Unloader troubleshooting guide. After troubleshooting, determine whether the linear actuator (01-01-1612) or another component is needed before recommending replacement.</t>
  </si>
  <si>
    <t>Based on a Straight Green 200-gallon bag, Green blower, 7-inch intake, and Tecumseh 5 HP engine, the unit is a Cyclone Rake 101 – Standard, and compatible replacement parts would align with the 101 Classic platform components.</t>
  </si>
  <si>
    <t>Advised ensuring correct hitch and suggested considering accessories like the Power Vacuum Pickup. Referenced Commander features and bundle comparison articles.</t>
  </si>
  <si>
    <t>The guidance was too sales-focused and linked to new product pages rather than addressing the customer’s current setup. The customer already owns a Commander and needs UTV compatibility guidance. The correct Cyclopedia article on using a Cyclone Rake with UTVs/ATVs was not provided. It also should have clearly stated that a Power Vacuum Pickup (PVP) is needed since there is no mower deck.</t>
  </si>
  <si>
    <t>To connect a Commander to a UTV, ensure proper hitch height and mounting per UTV guidelines. Since a UTV does not have a mower deck, the Power Vacuum Pickup (PVP) is required to collect leaves. Source: https://cyclopedia.cyclonerake.com/docs/using-your-cyclone-rake-with-atvs-golf-carts-and-other-vehicles</t>
  </si>
  <si>
    <t>Suggested purchasing a new blower unit or impeller. Mentioned blower replacement kits and specific impeller example (Z-10). Provided generic parts guidance.</t>
  </si>
  <si>
    <t>The agent assumed replacement parts without clarifying what the customer meant by “vacuum motor.” That term could refer to the engine, impeller, or blower assembly. It also provided incorrect and irrelevant links (coupling parts). Proper flow should request the Cyclone Rake model and engine type before recommending parts. This is a diagnostic and parts-validation failure.</t>
  </si>
  <si>
    <t>Ask clarifying questions first: What Cyclone Rake model? What engine? What symptoms is it showing? Determine whether the issue is the engine, impeller, or blower assembly before recommending parts.</t>
  </si>
  <si>
    <t>The agent stated it could help identify the model but redirected to another parts resource, then redundantly requested bag color and shape even though those details were already provided, entered a blocked state due to an internal intake comparison issue, and failed to narrow down or suggest likely model matches based on the supplied configuration.</t>
  </si>
  <si>
    <t>The customer clearly provided sufficient identifying information: Green straight bag, Green blower, and Vanguard 6.5 HP Phase I engine. The agent ignored the provided context, asked for already-supplied details, and did not apply logical narrowing. Based on this configuration, the unit most likely aligns with either a 101 (with an upgraded Vanguard engine) or a 105 Classic, depending on production period and configuration. The failure reflects poor context retention and improper model comparison logic.</t>
  </si>
  <si>
    <t>With a Green straight 200-gallon bag, Green blower, and Vanguard 6.5 HP Phase I engine, the unit is most likely either a 101 (with an upgraded engine) or a 105 Classic, and confirming the intake size and production timeframe would finalize identification.</t>
  </si>
  <si>
    <t>The agent redirected unnecessarily, requested bag details that were already provided, failed to apply the supplied engine and bag configuration logically, entered a blocked comparison state, and did not narrow the model possibilities despite having sufficient identifying attributes.</t>
  </si>
  <si>
    <t>The customer clearly provided Green straight bag, Green blower, and Vanguard 6.5 HP Phase II engine, which is enough to narrow the platform significantly. Instead of evaluating this configuration, the agent ignored context, redundantly asked for information already given, and failed to present likely model candidates. Based on this setup, the unit most likely aligns with either a 101 (with an upgraded Phase II Vanguard engine) or a 105 Classic, depending on production period and configuration.</t>
  </si>
  <si>
    <t>With a Green straight 200-gallon bag, Green blower, and Vanguard 6.5 HP Phase II engine, the unit is most likely either a 101 (with an upgraded Phase II engine) or a 105 Classic, and confirming intake size or production timeframe would finalize identification.</t>
  </si>
  <si>
    <t>Redirected to Catalog Parts agent. Asked again for bag color and shape even though both were already provided (Green, Straight).</t>
  </si>
  <si>
    <t>The agent attempted to run model identification using the provided attributes (Green straight bag, Green blower, XR950 engine), redundantly requested intake confirmation, entered a blocked state due to an internal 7-inch versus 8-inch comparison conflict, and failed to identify the model despite sufficient information.</t>
  </si>
  <si>
    <t>The configuration of a Green straight 200-gallon bag, Green blower, and XR950 engine clearly narrows the platform to a 101 or 105 Classic depending on production period. The agent ignored the logical narrowing path, compared against incorrect tapered black bag models, and remained stuck in intake validation logic instead of identifying the likely candidates. This reflects poor context retention and improper attribute matching.</t>
  </si>
  <si>
    <t>The agent failed to use the provided bag details to narrow possible models. While the information is limited, a straight green bag allows narrowing to a defined group of legacy models. Instead, it redundantly asked for information already supplied and did not provide a shortlist. This reflects a reasoning and context retention issue.</t>
  </si>
  <si>
    <t>With a Green straight 200-gallon bag, Green blower, and XR950 engine, the unit is most likely either a 101 (later production XR950 configuration) or a 105 Classic, and confirming production timeframe or minor frame details would finalize identification.</t>
  </si>
  <si>
    <t>Identified Tecumseh 5 HP – OHH50 on 101 Standard Complete Platinum. Provided production years, filter shape, air filter info, EMK availability, and deck hose diameter (7").</t>
  </si>
  <si>
    <t>The final answer (7" deck hose) was correct. However, the agent unnecessarily re-asked for information already provided in the original question and returned excessive details unrelated to the specific question. This is an efficiency and response-scoping issue.</t>
  </si>
  <si>
    <t>7-inch deck hose</t>
  </si>
  <si>
    <t>With a green straight bag, possible models include: 101,or 105. Additional details (blower color, intake size, engine) are needed to narrow further.</t>
  </si>
  <si>
    <t>The agent attempted to run automated model matching using the provided configuration (Green straight bag, Green blower, Vanguard 6.5 HP Cyclonic engine), became stuck in an internal intake-size comparison conflict, and failed to identify the model or narrow the likely options despite having sufficient attributes.</t>
  </si>
  <si>
    <t>The combination of a Green straight 200-gallon bag, Green blower, and Vanguard 6.5 HP Cyclonic engine significantly narrows the platform. Instead of logically evaluating this configuration, the system compared against incorrect tapered black bag models and remained blocked. Based on this setup, the unit most likely aligns with either a 101 (with a Cyclonic engine upgrade) or a 105 Classic, depending on production year and minor frame details.</t>
  </si>
  <si>
    <t>With a Green straight 200-gallon bag, Green blower, and Vanguard 6.5 HP Cyclonic engine, the unit is most likely either a 101 (engine upgraded) or a 105 Classic, and confirming production timeframe or chassis details would finalize the identification.</t>
  </si>
  <si>
    <t>Redirected to Catalog Parts agent. Asked again for bag color and shape despite both being provided (Black, Tapered).</t>
  </si>
  <si>
    <t>Stated that the Vanguard 6.5 HP Cyclonic engine has a horsepower rating of 6.5 HP.</t>
  </si>
  <si>
    <t>The agent failed to use the provided bag characteristics to narrow possible models. With a black tapered bag, it should have provided the known shortlist instead of repeating the same clarification request. This reflects a context retention and narrowing logic issue.</t>
  </si>
  <si>
    <t>Horsepower aligns with documented engine specification.</t>
  </si>
  <si>
    <t>With a black tapered bag, possible models include: 102, 107, 110, 111, 112. Additional details (blower color, intake diameter, engine) are required to narrow further.</t>
  </si>
  <si>
    <t>The agent attempted automated model matching using the provided attributes (Green tapered bag, Green blower, Tecumseh 5 HP engine), repeatedly requested intake confirmation, entered a blocked state due to an internal 7-inch versus 8-inch comparison issue, and failed to identify the model despite the intake being confirmed as 7 inches.</t>
  </si>
  <si>
    <t>With a Green bag, Green blower, Tecumseh 5 HP engine, and 7-inch intake, the configuration aligns with an early 101 platform. Instead of recognizing this pattern, the system incorrectly compared against tapered black bag configurations and remained stuck in intake validation logic. The agent failed to logically evaluate the provided attributes and did not deliver a model identification.</t>
  </si>
  <si>
    <t>Based on a Green bag, Green blower, Tecumseh 5 HP engine, and 7-inch deck hose system, the unit is a Cyclone Rake 101 – Standard.</t>
  </si>
  <si>
    <t>Identified Vanguard 9 HP Phase I – 20H132-0111-B1. Listed 8" deck hose, flat square filter, production years 2007–2011, air filter 01-01-753 / 01-01-756, EMK 01-02-200.</t>
  </si>
  <si>
    <t>Engine identification and 8" hose were correct. However, the EMK part number was incorrect (should be 05-02-200, not 01-02-200). Additionally, no documentation link was provided, and some specs (like hose size) were not clearly cited from the engine history chart, suggesting possible assumption instead of source-backed retrieval.</t>
  </si>
  <si>
    <t>Vanguard 9 HP Phase I – 20H132-0111-B1. Deck hose: 8". Correct EMK: 05-02-200. Source: https://cyclopedia.cyclonerake.com/docs/engine-history-chart</t>
  </si>
  <si>
    <t>What are the parts needed to connect my john deere 160 38" to my commander</t>
  </si>
  <si>
    <t>To connect your John Deere 160 with a 38-inch deck to a Commander Cyclone Rake, you will need the following parts: 
### Parts Needed:
1. **MDA (Mower Deck Adapter):** 
   - OEM: [230G](https://www.cyclonerake.com/mdahxxhhx) 
   - Aftermarket: [A230G](https://www.cyclonerake.com/mower-deck-adapter-8-inch-green230g-uncut-green-mda-to-8-inch-hosea230g)
2. **Hitch:**
   - OEM: [208-090](https://www.cyclonerake.com/cyclone-rake-hitches208-090-90-degree-hitch-bar208-090) 
   - Aftermarket: [208-090A](https://www.cyclonerake.com/hitch-bar-90-deg-w-hardware)
3. **Rubber Collar Kit:** 
   - [250](https://www.cyclonerake.com/rubber-collar-8-inch)
4. **Hose:** 
   - OEM: [304JP](https://www.cyclonerake.com/pvc-hose4) 
   - Aftermarket: [RPVC-08-04](https://www.cyclonerake.com/pvc-hose-8in-dia-x-4ft)
5. **Upgrade Hose:** 
   - OEM: [304UJP](https://www.cyclonerake.com/urethane-hose6) 
   - Aftermarket: [RPUR-08-04](https://www.cyclonerake.com/ure-hose-8in-dia-x-4ft)
### Installation Flags:
- **Deck opening measurements required:** No
- **MDA pre-cut:** No
- **Customer deck drilling required:** Yes
- **Exhaust deflection needed:** No
- **Compatible with Comm Pro / XL / Z-10:** Yes
### Sources:
- [John Deere 160 38 - Commander](https://www.cyclonerake.com/mdahxxhhx)
- [John Deere 160 38 - Classic](https://www.cyclonerake.com/mdag)
- [John Deere 160 38 - Commercial Pro](https://www.cyclonerake.com/mdahxxhhx)
If you have any more questions or need further assistance, feel free to ask!</t>
  </si>
  <si>
    <t>Links for hoses not working.</t>
  </si>
  <si>
    <t>Listed multiple rake models as using the Vanguard 6.5 HP Cyclonic (103, 102, 106, 109, 104, 101, 107) and claimed “Fall 2019 – Current” across them, including hose sizes and air filter 01-01-2147.</t>
  </si>
  <si>
    <t>The model list is wrong/overinclusive and appears to ignore product line history (it includes models that weren’t in production and/or are not valid pairings). It also fails to distinguish aftermarket upgrade-only availability vs original production. This is a product-history validation failure and an overgeneralization error.</t>
  </si>
  <si>
    <t>Vanguard 6.5 HP Cyclonic applies to: Classic (105) – 7” system (aftermarket engine upgrade only), Commander (109) – 8” system, Commercial PRO (110) – 8” system.</t>
  </si>
  <si>
    <t>Initially asked the customer for model, horsepower, brand, and air filter shape—even though the original question was asking for the air filter shape. After clarification, identified Tecumseh 5 HP – OHH50 and stated filter shape is Flat Square.</t>
  </si>
  <si>
    <t>The final answer (Flat Square) was correct. However, the agent unnecessarily asked the customer to provide the very information they were requesting. This created confusion and inefficiency. The engine specs could have been retrieved immediately from the engine history chart without follow-up questions.</t>
  </si>
  <si>
    <t>Flat Square</t>
  </si>
  <si>
    <t>The agent attempted automated model identification using the provided attributes (Green tapered bag, Green blower, Intek 6 HP engine), became stuck in an internal intake-size comparison conflict, and failed to narrow down or suggest likely model matches despite having a distinctive configuration.</t>
  </si>
  <si>
    <t>A Green tapered bag with a Green blower and Intek 6 HP engine significantly narrows the model range. Instead of evaluating this logically, the system compared against incorrect black tapered bag configurations and remained blocked. Based on this configuration, the unit most commonly aligns with a 103, 105, or 106 Commander platform, depending on production period and intake size (7-inch vs. 8-inch). The agent failed to provide these likely candidates.</t>
  </si>
  <si>
    <t>Recommended Engine Maintenance Kit (SKU 213) and separate Spark Plug (SKU 01-01-758). Provided pricing and links.</t>
  </si>
  <si>
    <t>With a Green tapered bag, Green blower, and Intek 6 HP engine, the unit is most likely a 103, 105 Classic, or 106 Commander, and confirming whether the intake is 7-inch or 8-inch would finalize the exact model identification.</t>
  </si>
  <si>
    <t>The spark plug is already included in the Engine Maintenance Kit, so recommending it separately was unnecessary. Additionally, the maintenance kit SKU was incorrect. For a 6.5HP Vanguard Cyclonic, the correct SKU is 213VG, not 213. This is a kit identification accuracy issue.</t>
  </si>
  <si>
    <t>Order Engine Maintenance Kit SKU 213VG (includes spark plug). No separate spark plug purchase required.</t>
  </si>
  <si>
    <t>Redirected to Catalog Parts agent. Asked again for bag color and shape despite both being provided (Black, Straight).</t>
  </si>
  <si>
    <t>The agent failed to use the provided identifying detail. A black straight bag uniquely identifies the 102 model. No additional narrowing was required. This reflects a model identification logic failure.</t>
  </si>
  <si>
    <t>Model: 102 (only model with a black straight bag). Replacement parts should be shown specific to the 102.</t>
  </si>
  <si>
    <t>Redirected to Catalog Parts agent. Asked again for bag color and shape despite both being provided (Black, Tapered) and blower color (Green).</t>
  </si>
  <si>
    <t>The agent failed to use the provided identifying details to narrow possible models. With a black tapered bag and green blower housing, it should have offered the correct shortlist instead of repeating clarification. This reflects a narrowing and context-use issue.</t>
  </si>
  <si>
    <t>With a black tapered bag and green blower housing, possible models include: 104, 108, 110. Additional details (intake diameter and engine) are needed to narrow further.</t>
  </si>
  <si>
    <t>The agent processed the provided configuration (Green tapered bag, Green blower, Vanguard 6.5 HP Phase I engine) but entered a blocked state due to an internal intake-size comparison issue and failed to narrow the likely model options or provide a probable match.</t>
  </si>
  <si>
    <t>A Green tapered bag combined with a Green blower and Vanguard 6.5 HP Phase I engine significantly narrows the model range. Instead of logically evaluating these attributes, the system compared against incorrect black bag configurations and became stuck in intake validation logic. With this configuration, the unit most likely aligns with a 103, a 106 Commander (if upgraded), or possibly a 109 Commander, depending on intake size and production period. The agent failed to provide these reasonable model candidates.</t>
  </si>
  <si>
    <t>With a Green tapered bag, Green blower, and Vanguard 6.5 HP Phase I engine, the unit is most likely a 103, potentially a 106 Commander (with engine upgrade), or a 109 Commander, and confirming whether the intake is 7-inch or 8-inch would finalize the identification.</t>
  </si>
  <si>
    <t>The agent attempted to process the configuration (Green tapered bag, Green blower, Vanguard 6.5 HP Phase II engine), became stuck in intake-size comparison logic, and failed to narrow down or suggest likely model candidates despite having a configuration that clearly limits the possibilities.</t>
  </si>
  <si>
    <t>A Green tapered bag with a Green blower and Vanguard 6.5 HP Phase II engine significantly narrows the platform. Instead of logically evaluating the attributes, the system compared against incorrect black tapered configurations and remained blocked. With this setup, the unit most commonly aligns with a 103, a 106 Commander (if upgraded), or a 109 Commander, depending on intake size (7-inch vs. 8-inch) and production timeframe. The agent failed to provide these likely candidates.</t>
  </si>
  <si>
    <t>With a Green tapered bag, Green blower, and Vanguard 6.5 HP Phase II engine, the unit is most likely a 103, possibly a 106 Commander (engine upgraded), or a 109 Commander, and confirming the intake size would finalize the correct model identification.</t>
  </si>
  <si>
    <t>The agent processed the configuration (Green tapered bag, Green blower, XR950 engine), became stuck in intake-size comparison logic, and failed to narrow the model range or provide likely candidates despite having a combination that significantly limits possibilities.</t>
  </si>
  <si>
    <t>A Green tapered bag with a Green blower and XR950 engine clearly narrows the platform. Instead of logically evaluating this configuration, the system compared against incorrect black tapered bag models and remained blocked due to intake validation conflicts. With this setup, the unit most likely aligns with a 103, potentially a 106 Commander (if later production), or a 109 Commander, depending on intake size (7-inch vs. 8-inch) and production timeframe. The agent failed to provide these reasonable model candidates.</t>
  </si>
  <si>
    <t>With a Green tapered bag, Green blower, and XR950 engine, the unit is most likely a 103, possibly a 106 Commander, or a 109 Commander, and confirming whether the intake is 7-inch or 8-inch would finalize the exact model identification.</t>
  </si>
  <si>
    <t>The agent evaluated the provided configuration (Green tapered bag, Green blower, Vanguard 6.5 HP Cyclonic engine) but became stalled in intake-size validation logic and failed to suggest likely model matches, despite the engine and bag combination clearly narrowing the possibilities.</t>
  </si>
  <si>
    <t>A Green tapered bag paired with a Green blower and Vanguard 6.5 HP Cyclonic engine significantly limits the model range. Instead of using this information to narrow the platform, the system compared against incorrect black bag configurations and remained blocked due to internal intake conflicts. With this setup, the unit most commonly aligns with a 103, a 106 Commander (if upgraded), or a 109 Commander, depending on whether it uses a 7-inch or 8-inch intake and its production period. The agent did not provide these likely candidates.</t>
  </si>
  <si>
    <t>With a Green tapered bag, Green blower, and Vanguard 6.5 HP Cyclonic engine, the unit is most likely a 103, potentially a 106 Commander, or a 109 Commander, and confirming the intake diameter would finalize the exact model identification.</t>
  </si>
  <si>
    <t>The agent processed the configuration (Black straight bag, Green blower, Tecumseh 6 HP engine), redundantly requested intake confirmation, entered a blocked intake-size comparison state, and failed to identify the model despite having a distinctive and sufficient attribute combination.</t>
  </si>
  <si>
    <t>A Black straight 300-gallon bag with a Green blower and Tecumseh 6 HP engine clearly aligns with the early 102 – Commercial configuration. The intake for this platform is known to be 7-inch, so repeatedly requesting 7-inch versus 8-inch confirmation was unnecessary. The agent failed to apply logical model recognition based on the bag style and engine combination and instead became stuck in intake validation logic.</t>
  </si>
  <si>
    <t>With a Black straight 300-gallon bag, Green blower, and Tecumseh 6 HP engine, the unit is a Cyclone Rake 102 – Commercial, which uses the 7-inch deck hose system.</t>
  </si>
  <si>
    <t>The agent reviewed the configuration (Black straight bag, Green blower, Intek 7 HP engine), unnecessarily requested intake size confirmation, entered a blocked intake-comparison state, and failed to identify the model even though the provided attributes clearly narrowed it down.</t>
  </si>
  <si>
    <t>A Black straight 300-gallon bag paired with a Green blower and Intek 7 HP engine is a clear indicator of the 102 – Commercial platform. The 102 uses a 7-inch system, making additional intake verification redundant. The agent failed to apply straightforward attribute recognition and instead remained stuck in internal intake validation logic despite having enough information to determine the correct model.</t>
  </si>
  <si>
    <t>With a Black straight 300-gallon bag, Green blower, and Intek 7 HP engine, the unit is a Cyclone Rake 102 – Commercial, which operates on the 7-inch deck hose system.</t>
  </si>
  <si>
    <t>Which Cyclone Rake model best matches my mower’s make, model, and deck size?</t>
  </si>
  <si>
    <t>To determine the best Cyclone Rake model for your mower, Cyclone needs details about your mower’s:
Make and full model number (e.g., brand/model)
Deck size (in inches)
Engine horsepower
Your property size and debris type/amount (light vs. heavy leaves, acorns, etc.)
With this info, Cyclone can match you to the correct Classic, Commander, Commercial PRO, XL, Z-10 or CRS model that fits both your mower and your cleanup needs.</t>
  </si>
  <si>
    <t>Provided correct information that is needed to be able to determine tractor compatibility.</t>
  </si>
  <si>
    <t>Is my tractor compatible with the Cyclone Rake?</t>
  </si>
  <si>
    <t>To determine if your tractor is compatible with the Cyclone Rake, I would need to know the make and model of your tractor, as well as the deck size if applicable. Please provide those details, and I can help you check compatibility!</t>
  </si>
  <si>
    <t>Answered me with information needed such as make, model and deck size needed to determine further information</t>
  </si>
  <si>
    <t>answered correctly</t>
  </si>
  <si>
    <t>Are there any additional parts I need to purchase for setup?</t>
  </si>
  <si>
    <t>To determine if there are any additional parts you need to purchase for the setup of your Cyclone Rake, it typically depends on your specific tractor model and the Cyclone Rake model you are using. Here are some common additional parts that may be required:
1. **Hitch Kit:** Ensure you have the correct hitch for your tractor.
2. **Mower Deck Adapter (MDA):** Specific to your tractor model.
3. **Hoses:** Depending on your setup, you may need specific hoses for connection.
4. **Rubber Collar Kit:** To ensure a proper fit between the rake and the tractor.
5. **Upgrade Hoses:** If you want to enhance the durability of your setup.
For the most accurate information, please provide your tractor make and model, and I can help identify any specific additional parts you may need!</t>
  </si>
  <si>
    <t>Gave me parts that will be needed as well as requested for tractor make model and deck size</t>
  </si>
  <si>
    <t>What should I do if my tractor model isn't listed for compatibility?</t>
  </si>
  <si>
    <t>If your tractor model isn't listed for compatibility with the Cyclone Rake, here are some steps you can take:
1. **Double-Check Information:** Ensure that you have the correct make, model, and deck size of your tractor. Sometimes, slight variations in the model name can affect compatibility.
2. **Contact Customer Support:** Reach out to Cyclone Rake's customer support for assistance. They may have additional information or suggestions for your specific tractor model.
3. **Consult a Dealer:** Visit a local dealer or retailer that specializes in Cyclone Rake products. They may have experience with similar setups and can provide guidance.
4. **Look for Aftermarket Solutions:** Some aftermarket parts may be available that can help adapt your tractor to work with the Cyclone Rake.
5. **Consider Alternative Models:** If compatibility cannot be confirmed, you may need to consider a different model of Cyclone Rake that is known to be compatible with your tractor.
6. **Join Online Forums:** Engage with online communities or forums where other tractor owners share their experiences. They may have insights or solutions for your specific model.
If you have any other questions or need further assistance, feel free to ask!</t>
  </si>
  <si>
    <t>correct answer for question</t>
  </si>
  <si>
    <t>one of the options was to contact support such as once hubs.</t>
  </si>
  <si>
    <t>What tools will I need for the installation?</t>
  </si>
  <si>
    <t>For the installation of a Cyclone Rake, you will typically need the following tools:
1. **Wrenches:** Adjustable wrenches or a set of socket wrenches for tightening bolts and nuts.
2. **Screwdrivers:** Both flathead and Phillips screwdrivers for various screws.
3. **Drill:** If drilling is required for mounting the hitch or MDA, a power drill with appropriate drill bits.
4. **Measuring Tape:** To ensure proper alignment and measurements during installation.
5. **Pliers:** For gripping and twisting wires or small parts.
6. **Level:** To ensure that the setup is even and properly aligned.
7. **Safety Gear:** Gloves and safety glasses to protect yourself during installation.
Always refer to the specific installation instructions provided with your Cyclone Rake for any additional tools or requirements that may be unique to your model. If you have any more questions or need further assistance, feel free to ask!</t>
  </si>
  <si>
    <t>Some parts are also mentioned in the instruction sheets.</t>
  </si>
  <si>
    <t>provided correct answer to question</t>
  </si>
  <si>
    <t>Will I need to drill holes to install the MDA?</t>
  </si>
  <si>
    <t>For the John Deere L130, you **will not** need to drill holes to install the MDA (Mower Deck Adapter). Here are the details:
- **MDA Model:** [230E](https://www.cyclonerake.com/230e-mda-e-8in-grn) (Aftermarket: [A230E](https://www.cyclonerake.com/230e-custom-cut-green-mda-to-8-inch-hosea230e))
- **Installation Flags:**
  - **Deck opening measurements required:** No
  - **MDA pre-cut:** Yes
  - **Customer deck drilling required:** No
  - **Exhaust deflection needed:** No
If you have any more questions or need further assistance, feel free to ask!</t>
  </si>
  <si>
    <t>Gave me part number, if it's a pre-cut MDA as well as part number with working links for MDA</t>
  </si>
  <si>
    <t>To determine if your tractor is compatible with the Cyclone Rake, I need to know the make and model of your tractor, as well as the deck size if applicable. Please provide those details, and I can help you check compatibility!</t>
  </si>
  <si>
    <t>Correct answer for question</t>
  </si>
  <si>
    <t>Asked me tractors make, model and deck size to provide further information.</t>
  </si>
  <si>
    <t>What type of hitch do I need for my tractor?</t>
  </si>
  <si>
    <t>To determine the type of hitch you need for your tractor, I would need to know the make and model of your tractor. Different tractors require specific hitch models for compatibility with the Cyclone Rake. Please provide those details, and I can help you find the right hitch for your setup!</t>
  </si>
  <si>
    <t>What is the diameter of the hose required for my Cyclone Rake?</t>
  </si>
  <si>
    <t>The diameter of the hose required for your Cyclone Rake typically depends on the specific model of the rake and the tractor it is being connected to. For most Cyclone Rake models, the standard hose diameter is usually **8 inches**. 
If you have a specific tractor model or Cyclone Rake model in mind, please provide that information, and I can confirm the exact hose diameter needed for your setup!</t>
  </si>
  <si>
    <t>Needs more information to determine hose diameter of the Cyclone Rake</t>
  </si>
  <si>
    <t>Is there a weight limit for the Cyclone Rake on my tractor?</t>
  </si>
  <si>
    <t>Yes, there is typically a weight limit for the Cyclone Rake when attached to a tractor, and this limit can vary based on the specific model of the Cyclone Rake and the tractor's capabilities. 
To ensure safe operation, it's important to consider the following:
1. **Tractor Specifications:** Check your tractor's owner's manual for its towing capacity and weight limits.
2. **Cyclone Rake Model:** Different models of Cyclone Rakes have different weight capacities. For example, larger models may be heavier and require a tractor with a higher towing capacity.
3. **Load Distribution:** Ensure that the load is evenly distributed to avoid straining the tractor.
For the most accurate information, refer to the specifications provided by Cyclone Rake for your specific model and consult your tractor's manual. If you have any more questions or need further assistance, feel free to ask!</t>
  </si>
  <si>
    <t>Provided information as to whats needed to determine if there's a weight limit such as tractors make model and deck size.</t>
  </si>
  <si>
    <t>Do I need to provide my tractor's deck size for compatibility?</t>
  </si>
  <si>
    <t>Yes, providing your tractor's deck size is important for determining compatibility with the Cyclone Rake. The deck size helps identify the correct Mower Deck Adapter (MDA) and ensures that the Cyclone Rake will fit properly with your tractor. 
If you can provide the make, model, and deck size of your tractor, I can assist you in checking compatibility with the Cyclone Rake!</t>
  </si>
  <si>
    <t>Gave me correct answer and explained why the deck size is also needed.</t>
  </si>
  <si>
    <t>How long should the hose be for my tractor setup?</t>
  </si>
  <si>
    <t>The length of the hose required for your tractor setup with the Cyclone Rake typically depends on the specific model of the rake and the configuration of your tractor. For most setups, the standard hose lengths are:
- **For 42-inch decks:** Usually around 6 feet.
- **For 48-inch decks:** Typically around 6 to 8 feet.
- **For 54-inch decks:** Generally around 8 feet.
- **For 60-inch decks:** Often around 10 feet.
To get the exact length needed for your specific tractor and Cyclone Rake model, please provide the make and model of your tractor, and I can help confirm the appropriate hose length for your setup!</t>
  </si>
  <si>
    <t>Gave me the sizes the hoses can come in as well as what information is needed to determine the correct hose length.</t>
  </si>
  <si>
    <t>What are the installation flags I should be aware of?</t>
  </si>
  <si>
    <t>When installing a Cyclone Rake, there are several installation flags you should be aware of to ensure a proper setup. Here are some common flags:
1. **Deck Opening Measurements Required:** Check if you need to take measurements of your tractor's deck opening for compatibility.
2. **MDA Pre-Cut:** Determine if the Mower Deck Adapter (MDA) is pre-cut for your specific tractor model.
3. **Customer Deck Drilling Required:** Find out if you need to drill holes in your tractor's deck to install the MDA or hitch.
4. **Exhaust Deflection Needed:** Check if your tractor's exhaust needs to be deflected to avoid interference with the Cyclone Rake.
5. **Compatible with Comm Pro / XL / Z-10:** Ensure that your setup is compatible with other Cyclone Rake models if applicable.
6. **Weight Limit Considerations:** Be aware of any weight limits for your tractor when using the Cyclone Rake.
7. **Hose Length and Diameter:** Confirm the required hose length and diameter for your specific setup.
These flags can vary based on the specific tractor and Cyclone Rake model, so it's always a good idea to refer to the installation manual or consult customer support for your specific setup. If you have any more questions or need further assistance, feel free to ask!</t>
  </si>
  <si>
    <t>Gave me information on common flags and a brief break down.</t>
  </si>
  <si>
    <t>How do I maintain the hose and MDA after installation?</t>
  </si>
  <si>
    <t>Maintaining the hose and Mower Deck Adapter (MDA) after installation is essential for ensuring optimal performance and longevity. Here are some maintenance tips:
### Hose Maintenance:
1. **Regular Inspection:** Check the hose for any signs of wear, cracks, or leaks. Replace it if you notice any damage.
2. **Clean the Hose:** Rinse the hose with water to remove any debris or clippings that may have accumulated inside or outside.
3. **Avoid Kinks:** Store the hose in a way that prevents kinks or sharp bends, which can weaken the material over time.
4. **Check Connections:** Ensure that the hose connections to the MDA and Cyclone Rake are secure and free from leaks.
### MDA Maintenance:
1. **Inspect for Damage:** Regularly check the MDA for any signs of wear or damage, especially at the mounting points.
2. **Clean the MDA:** Wipe down the MDA to remove dirt and debris that may affect its performance.
3. **Lubricate Moving Parts:** If applicable, lubricate any moving parts or connections to ensure smooth operation.
4. **Check for Rust:** If the MDA is metal, inspect it for rust and treat it as necessary to prevent corrosion.
### General Tips:
- **Follow Manufacturer Guidelines:** Always refer to the manufacturer's maintenance guidelines for specific recommendations related to your Cyclone Rake model.
- **Store Properly:** When not in use, store the Cyclone Rake and its components in a dry, sheltered area to protect them from the elements.
By following these maintenance tips, you can help ensure that your hose and MDA remain in good condition and function effectively. If you have any more questions or need further assistance, feel free to ask!</t>
  </si>
  <si>
    <t>Gave me tips on maintenance and what to look for on both the MDA and Hose</t>
  </si>
  <si>
    <t>The agent processed the configuration (Black straight bag, Green blower, Vanguard 6.5 HP Phase I engine), entered intake-size comparison logic, and failed to identify the model despite the bag and blower combination clearly narrowing the platform.</t>
  </si>
  <si>
    <t>A Black straight 300-gallon bag with a Green blower strongly aligns with the 102 – Commercial platform. The presence of a Vanguard 6.5 HP Phase I engine suggests a likely engine upgrade rather than a different base model. The agent failed to logically associate the bag style and blower configuration with the 102 platform and instead became stalled in intake validation logic.</t>
  </si>
  <si>
    <t>What height should the Standard 90 degree hitch be mounted?</t>
  </si>
  <si>
    <t>With a Black straight 300-gallon bag and Green blower, the unit is a Cyclone Rake 102 – Commercial, and the Vanguard 6.5 HP Phase I engine indicates it has likely received an engine upgrade while retaining the original 7-inch system.</t>
  </si>
  <si>
    <t>The standard 90-degree hitch for a Cyclone Rake should ideally be mounted at a height of **10 to 14 inches** from the ground. This height range allows for optimal performance and ensures that the Cyclone Rake operates effectively without causing any issues with the tractor's operation.
### Key Points:
- **Ideal Height:** 10 to 14 inches
- **Adjustments:** If your tractor's hitch height is above 14 inches, you may need to use mounting plates or other adjustments to bring it within the ideal range.
- **Check Compatibility:** Always refer to the specific installation instructions provided with your hitch and Cyclone Rake for any additional requirements or recommendations.
If you have any more questions or need further assistance, feel free to ask!</t>
  </si>
  <si>
    <t>Provided correct height in which Hitch should be mounted, as also stated in the instructions for the hitch</t>
  </si>
  <si>
    <t>Do I need to drill holes to mount my hitch to my Husqvarna?</t>
  </si>
  <si>
    <t>No, you do not need to drill holes to mount the hitch on your Husqvarna 1842. Here are the details:
- **Hitch Model:** [208-090](https://www.cyclonerake.com/cyclone-rake-hitches208-090-90-degree-hitch-bar208-090) (Aftermarket: [208-090A](https://www.cyclonerake.com/hitch-bar-90-deg-w-hardware))
- **Installation Flags:**
  - **Deck opening measurements required:** No
  - **MDA pre-cut:** Yes
  - **Customer deck drilling required:** No
  - **Exhaust deflection needed:** No
If you have any more questions or need further assistance, feel free to ask!</t>
  </si>
  <si>
    <t>You will have to drill holes on the rear. Due to there not being predrilled holes that lineup with the holes on the hitch.</t>
  </si>
  <si>
    <t>Yes, you will have to drill holes on the rear to mount the hitch.</t>
  </si>
  <si>
    <t>Repeatedly asked the customer for the rake model and air filter shape, even though the question was asking what the filter shape should be for a 6.5 HP engine. Did not provide a direct answer.</t>
  </si>
  <si>
    <t>The agent got stuck in a clarification loop and asked the customer to identify the air filter shape when that was the information being requested. For a 6.5 HP engine, filter shape depends on engine phase and should have been explained directly (Phase I = Flat Square, Phase II = Canister, Cyclonic = Cyclonic). This is a conversational logic and decision-tree failure.</t>
  </si>
  <si>
    <t>6.5 HP Phase I → Flat Square. 6.5 HP Phase II → Canister. 6.5 HP Cyclonic → Cyclonic filter.</t>
  </si>
  <si>
    <t>Asked for rake model and horsepower, despite the model and production timeframe already being provided. Did not return engine information.</t>
  </si>
  <si>
    <t>The question already specified *109 – Commander (Fall 2019 – Current)**. The agent failed to use the provided timeframe to identify the engine and instead restarted its clarification flow. This is a failure to use supplied context and a breakdown in decision logic.</t>
  </si>
  <si>
    <t>Vanguard 6.5 HP Cyclonic (Fall 2019 – Current configuration for 109 – Commander*). This was a context-utilization failure. The agent ignored the clearly stated model and production window and unnecessarily restarted its intake flow, resulting in no usable answer. This reflects a state-management and contextual reasoning issue rather than a knowledge gap.</t>
  </si>
  <si>
    <t>Re-asked for model and engine details that were already provided. Identified engine as Vanguard 6.5 HP Cyclonic – 12V332-0136-F1 but did not clearly state the replacement solution.</t>
  </si>
  <si>
    <t>The question was asking for the replacement engine, not identification of the current engine. The agent repeated intake questions unnecessarily and failed to provide the actual replacement/upgrade kit. This is a task-interpretation and solution-delivery failure.</t>
  </si>
  <si>
    <t>6.5 HP Vanguard Cyclonic Upgrade Kit – Part # 01-04-306 (Replacement for 101 – Standard Complete Platinum). This was a solution-mapping failure. The agent focused on re-identifying the engine instead of answering the replacement question. It also redundantly re-asked for information already given, indicating a breakdown in contextual task handling and upgrade-kit routing logic.</t>
  </si>
  <si>
    <t>The agent evaluated the configuration (Black straight bag, Green blower, Vanguard 6.5 HP Phase II engine), became stalled in intake-size validation logic, and failed to identify the model even though the bag and blower combination clearly narrowed the platform.</t>
  </si>
  <si>
    <t>A Black straight 300-gallon bag paired with a Green blower is characteristic of the 102 – Commercial platform. The Vanguard 6.5 HP Phase II engine most likely indicates a later engine upgrade rather than a different base model. The agent did not logically associate the distinctive bag style with the 102 and instead remained blocked in intake comparison logic despite having sufficient identifying attributes.</t>
  </si>
  <si>
    <t>With a Black straight 300-gallon bag and Green blower, the unit is a Cyclone Rake 102 – Commercial, and the Vanguard 6.5 HP Phase II engine reflects an engine upgrade while retaining the standard 7-inch system.</t>
  </si>
  <si>
    <t>Identified XR 950 (9.5 ft/lb torque) and provided air filter part number 01-01-2116.</t>
  </si>
  <si>
    <t>Correctly mapped torque rating (9.5 ft/lb) to XR 950 engine and returned the proper air filter part number. Context continuity likely helped retrieval accuracy.</t>
  </si>
  <si>
    <t>1/1/2116 Accurate identification and correct part number returned. Notably, performance improved when the session context was preserved, suggesting that conversational state retention enhances engine-to-part mapping accuracy.</t>
  </si>
  <si>
    <t>The agent processed the configuration (Black straight bag, Green blower, XR950 engine), requested unnecessary intake verification, entered a blocked comparison state, and failed to identify the model even though the bag and blower combination clearly pointed to a specific platform.</t>
  </si>
  <si>
    <t>The Black straight 300-gallon bag combined with a Green blower is a clear identifier of the 102 – Commercial model. The XR950 engine reflects a later engine replacement and does not change the base unit classification. The agent failed to use the distinctive bag style as the primary identifier and instead remained stuck in internal intake-size logic despite having sufficient details.</t>
  </si>
  <si>
    <t>With a Black straight 300-gallon bag and Green blower, the unit is a Cyclone Rake 102 – Commercial, and the XR950 engine indicates an upgraded replacement while retaining the standard 7-inch system.</t>
  </si>
  <si>
    <t>Identified Vanguard 6.5 HP Phase II (13L332-0119-F8) as the engine associated with a green blower and canister filter. Listed several rake models.</t>
  </si>
  <si>
    <t>While Vanguard 6.5 HP Phase II is one valid engine with a green blower and canister filter, the response was incomplete and overly model-focused. It failed to include the XR 950, which also uses a green blower and canister filter. The question asked for the engine, not a list of rake models.</t>
  </si>
  <si>
    <t>Engines with Green blower + Canister filter: Vanguard 6.5 HP Phase II and B&amp;S XR 950. The agent partially answered correctly but did not provide the full set of engine possibilities. It also focused unnecessarily on rake models instead of directly answering the engine-identification question. This reflects a completeness and scope-alignment issue.</t>
  </si>
  <si>
    <t>The agent evaluated the configuration (Black straight bag, Green blower, Vanguard 6.5 HP Cyclonic engine), became stalled in intake-size validation logic, and failed to identify the model even though the bag and blower combination clearly indicated the correct platform.</t>
  </si>
  <si>
    <t>A Black straight collector bag paired with a Green blower housing is a defining characteristic of the 102 – Commercial platform. The Vanguard 6.5 HP Cyclonic engine reflects a later engine upgrade and does not change the base model classification. The agent did not use the distinct bag style as the primary identifier and instead remained stuck in internal intake comparison logic despite having enough information.</t>
  </si>
  <si>
    <t>With a Black straight collector bag and Green blower housing, the unit is a Cyclone Rake 102 – Commercial, and the Vanguard 6.5 HP Cyclonic engine represents an upgraded replacement while retaining the standard seven-inch system.</t>
  </si>
  <si>
    <t>Identified Vanguard 6.5 HP Phase II – 13L332-0119-F8 for 105 – Classic*. Also incorrectly included 102 – Commercial as a matching rake model.</t>
  </si>
  <si>
    <t>The correct engine for the specified criteria (105 – Classic*, Vanguard 6.5HP, Canister) is Vanguard 6.5 HP Phase II – 13L332-0119-F8. However, the agent unnecessarily returned an additional rake model (102 – Commercial) that was not requested. This reflects poor filtering and scope control.</t>
  </si>
  <si>
    <t>Vanguard 6.5 HP Phase II – 13L332-0119-F8 (for 105 – Classic*). Engine identification was correct, but the agent over-returned results outside the requested rake model. This is a filtering precision issue rather than a knowledge error.</t>
  </si>
  <si>
    <t>Returned a shortlist of two possible engines for 105 Classic*: Vanguard 6.5 HP Cyclonic vs Vanguard 6.5 HP Phase I. Flagged a conflict and recommended verifying filter shape—even though the user already specified Flat Square.</t>
  </si>
  <si>
    <t>The agent ignored a provided discriminator (Flat Square) and still asked to verify it. With “Filter: Flat Square” given, it should have selected the Phase I engine directly rather than presenting a shortlist. This is a filtering/decision-tree application failure.</t>
  </si>
  <si>
    <t>Vanguard 6.5 HP Phase I (matches 6.5 HP + Flat Square filter on 105 – Classic*).</t>
  </si>
  <si>
    <t>Returned a shortlist of two engines (Vanguard 6.5 HP Cyclonic and Vanguard 6.5 HP Phase II). Flagged a filter-shape conflict and recommended verifying filter shape, even though “Cyclonic” was provided.</t>
  </si>
  <si>
    <t>The filter shape was explicitly given as Cyclonic, which eliminates Phase II (Canister). The agent should have returned a single high-confidence result instead of a shortlist. This reflects improper confidence scoring and failure to apply provided constraints.</t>
  </si>
  <si>
    <t>Vanguard 6.5 HP Cyclonic (only engine matching 6.5 HP + Cyclonic filter on 107 – Commercial Pro 8" Jetpath). This was a confidence and filtering logic issue. The provided attributes fully narrowed the result to one engine, but the agent unnecessarily presented multiple options. This indicates incomplete constraint application rather than missing knowledge.</t>
  </si>
  <si>
    <t>Are wheel weights needed for my bad boy mz magnum?</t>
  </si>
  <si>
    <t>Wheel weights may be beneficial for your Bad Boy MZ Magnum, especially if you are using it with a Cyclone Rake or other attachments that add weight to the rear. Here are some considerations:
1. **Improved Traction:** Wheel weights can help improve traction, particularly on slopes or uneven terrain, by increasing the weight on the drive wheels.
2. **Stability:** Adding weight can enhance the stability of the mower, especially when using attachments that may shift the center of gravity.
3. **Manufacturer Recommendations:** Check the owner's manual or consult with Bad Boy customer support to see if they recommend wheel weights for your specific model and intended use.
4. **Personal Preference:** If you find that your mower struggles with traction or stability when using attachments, adding wheel weights could be a good solution.
If you have any more questions or need further assistance, feel free to ask!</t>
  </si>
  <si>
    <t>Provided correct answer as well as reasons why it may be beneficial</t>
  </si>
  <si>
    <t>Can my john Deere L130 be used with a cyclone rake single?</t>
  </si>
  <si>
    <t>Your John Deere L130 with a 48-inch deck is compatible with the following Cyclone Rake models:
### Recommended Cyclone Rake Models:
1. **Commander**
   - **MDA:** [230E](https://www.cyclonerake.com/230e-mda-e-8in-grn) (Aftermarket: [A230E](https://www.cyclonerake.com/230e-custom-cut-green-mda-to-8-inch-hosea230e))
   - **Hitch:** [208-090](https://www.cyclonerake.com/cyclone-rake-hitches208-090-90-degree-hitch-bar208-090) (Aftermarket: [208-090A](https://www.cyclonerake.com/hitch-bar-90-deg-w-hardware))
   - **Rubber Collar Kit:** [250](https://www.cyclonerake.com/rubber-collar-8-inch)
   - **Hose:** [304JP](https://www.cyclonerake.com/pvc-hose4) (Aftermarket: [RPVC-08-04](https://www.cyclonerake.com/pvc-hose-8in-dia-x-4ft))
   - **Upgrade Hose:** [304UJP](https://www.cyclonerake.com/urethane-hose6) (Aftermarket: [RPUR-08-04](https://www.cyclonerake.com/ure-hose-8in-dia-x-4ft))
2. **Classic**
   - **MDA:** [206E](https://www.cyclonerake.com/mda225658) (Aftermarket: [A206E](https://www.cyclonerake.com/206e-custom-cut-green-classic-mda-to-7-inch-hosea206e))
   - **Hitch:** [208-090](https://www.cyclonerake.com/cyclone-rake-hitches208-090-90-degree-hitch-bar208-090) (Aftermarket: [208-090A](https://www.cyclonerake.com/hitch-bar-90-deg-w-hardware))
   - **Rubber Collar Kit:** [251](https://www.cyclonerake.com/rubber-collar-7-inch)
   - **Hose:** [305](https://www.cyclonerake.com/pvc-hose) (Aftermarket: [RPVC-07-05](https://www.cyclonerake.com/pvc-hose-7in-dia-x-5ft))
   - **Upgrade Hose:** [305U](https://www.cyclonerake.com/urethane-hose) (Aftermarket: [RPUR-07-05](https://www.cyclonerake.com/ure-hose-7in-dia-x-5ft))
3. **Commander CRS**
   - **MDA:** [230E](https://www.cyclonerake.com/230e-mda-e-8in-grn) (Aftermarket: [A230E](https://www.cyclonerake.com/230e-custom-cut-green-mda-to-8-inch-hosea230e))
   - **Hitch:** [208-090](https://www.cyclonerake.com/cyclone-rake-hitches208-090-90-degree-hitch-bar208-090) (Aftermarket: [208-090A](https://www.cyclonerake.com/hitch-bar-90-deg-w-hardware))
   - **Rubber Collar Kit:** [250](https://www.cyclonerake.com/rubber-collar-8-inch)
   - **Upgrade Hose:** [308UJP](https://www.cyclonerake.com/urethane-hose13) (Aftermarket: [RPUR-08-08](https://www.cyclonerake.com/ure-hose-8in-dia-x-8ft))
4. **Commercial Pro**
   - **MDA:** [230E](https://www.cyclonerake.com/230e-mda-e-8in-grn) (Aftermarket: [A230E](https://www.cyclonerake.com/230e-custom-cut-green-mda-to-8-inch-hosea230e))
   - **Hitch:** [208-090](https://www.cyclonerake.com/cyclone-rake-hitches208-090-90-degree-hitch-bar208-090) (Aftermarket: [208-090A](https://www.cyclonerake.com/hitch-bar-90-deg-w-hardware))
   - **Hose:** [304JP](https://www.cyclonerake.com/pvc-hose4) (Aftermarket: [RPVC-08-04](https://www.cyclonerake.com/pvc-hose-8in-dia-x-4ft))
   - **Upgrade Hose:** [304UJP](https://www.cyclonerake.com/urethane-hose6) (Aftermarket: [RPUR-08-04](https://www.cyclonerake.com/ure-hose-8in-dia-x-4ft))
5. **Classic CRS**
   - **MDA:** [206E](https://www.cyclonerake.com/mda225658) (Aftermarket: [A206E](https://www.cyclonerake.com/206e-custom-cut-green-classic-mda-to-7-inch-hosea206e))
   - **Hitch:** [208-090](https://www.cyclonerake.com/cyclone-rake-hitches208-090-90-degree-hitch-bar208-090) (Aftermarket: [208-090A](https://www.cyclonerake.com/hitch-bar-90-deg-w-hardware))
   - **Rubber Collar Kit:** [251](https://www.cyclonerake.com/rubber-collar-7-inch)
   - **Hose:** [310](https://www.cyclonerake.com/pvc-hose9) (Aftermarket: [RPVC-07-10](https://www.cyclonerake.com/pvc-hose-7in-dia-x-10ft))
   - **Upgrade Hose:** [310U](https://www.cyclonerake.com/urethane-hose22) (Aftermarket: [RPUR-07-10](https://www.cyclonerake.com/ure-hose-7in-dia-x-10ft))
### Installation Flags:
- **Deck opening measurements required:** No
- **MDA pre-cut:** Yes
- **Customer deck drilling required:** No
- **Exhaust deflection needed:** No
- **Compatible with Comm Pro / XL / Z-10:** Yes
If you have any more questions or need further assistance, feel free to ask!</t>
  </si>
  <si>
    <t>Provided correct answer to question and compatibility as well as flags.</t>
  </si>
  <si>
    <t>No links work except for the aftermarket hitch and MDA links</t>
  </si>
  <si>
    <t>Which rake fits my tractor</t>
  </si>
  <si>
    <t>I have a bad boy mz  magnum 48" is it compatible with my classic rake?</t>
  </si>
  <si>
    <t>what MDA HITCH HOSE I need for my Commander Cyclone Rake</t>
  </si>
  <si>
    <t>What is the set up for a Hustler 928143 60"</t>
  </si>
  <si>
    <t xml:space="preserve">I have an XL Cyclone Rake and need a set up for a Ferris 300s 42"
</t>
  </si>
  <si>
    <t>Which MDA fits my John Deere?</t>
  </si>
  <si>
    <t>what is the make of your tracotr, model and deck size</t>
  </si>
  <si>
    <t>I can absolutely help — but I need one key detail first: your tractor’s model (or at least size / horsepower). Different rakes are sized for different tractors and hitch types.</t>
  </si>
  <si>
    <t>What is the make of your tractor? (For example: John Deere, Kubota, Massey Ferguson, Case IH)</t>
  </si>
  <si>
    <t>what is the deck size of your Bad Boy MZ Magnum</t>
  </si>
  <si>
    <t>What is the make of your tractor?</t>
  </si>
  <si>
    <t>It appears that there are no specific fitment details available for the Ferris 300S with a 42-inch deck in the database. This may require human review for compatibility with the XL Cyclone Rake. ### Recommendations: - Check for Compatibility: Please verify the tractor model and deck size to ensure accuracy. - Contact Support: For further assistance, consider reaching out to customer support or checking with a local dealer for fitment options. If you have any other questions or need assistance with a different model, feel free to ask!</t>
  </si>
  <si>
    <t>It seems that I need more specific information about your John Deere tractor to determine the correct mower deck adapter (MDA) that fits your deck opening. Could you please provide the following details? 1. Tractor Model: (e.g., X350, 1025R) 2. Deck Width: (in inches, e.g., 42", 54") With this information, I can help you find the right MDA for your setup!</t>
  </si>
  <si>
    <t>Tractor is in TDB but it does have parenthesis as an accel deep deck.</t>
  </si>
  <si>
    <t>Tractor is in TDB as compatible with all rakes but no compatibility was given through AI</t>
  </si>
  <si>
    <t>Something went wrong. Here's the specific error message we encountered: An error occurred while processing the request: 400 The response was filtered due to the prompt triggering Azure OpenAI's content management policy. Please modify your prompt and retry. To learn more about our content filtering policies please read our documentation: https://go.microsoft.com/fwlink/?linkid=2198766</t>
  </si>
  <si>
    <t>Only links for MDA work.</t>
  </si>
  <si>
    <t>None of the links work, although it provided correct part numbers.</t>
  </si>
  <si>
    <t>It provided me with the correct part number from TDB but only the links for the aftermarket MDA and Hitch work.</t>
  </si>
  <si>
    <t>Tractor set up is in TDB.</t>
  </si>
  <si>
    <t>Tractor is compatible with all Rakes.</t>
  </si>
  <si>
    <t>Yes compatible</t>
  </si>
  <si>
    <t>Part numbers provided</t>
  </si>
  <si>
    <t>Identified Vanguard 6.5 HP Phase I – 12H332-0114-B8 for 107 – Commercial Pro 8" Jetpath with Flat Square filter. Included specs: 8" deck hose, green blower, air filter 01-01-753 / 01-01-756, EMK 01-02-200.</t>
  </si>
  <si>
    <t>Said there are no details available since it's a cat 4 in TDB and also said to contact support for further information</t>
  </si>
  <si>
    <t>Engine identification properly matched rake model, horsepower, and filter shape. High-confidence lock was appropriate and accurate.</t>
  </si>
  <si>
    <t>Vanguard 6.5 HP Phase I – 12H332-0114-B8</t>
  </si>
  <si>
    <t>I have a Ferris with tubes on the rear, do you have a hitch compatible with this type of unit?</t>
  </si>
  <si>
    <t>To determine if there is a compatible hitch for your Ferris mower with tubes on the rear, I would need more specific information about the model of your Ferris mower. Different models may have different hitch requirements.
If you can provide the exact model name or number of your Ferris mower, I can help check for compatible hitch options. Alternatively, you may want to contact Ferris customer support or a local dealer for assistance with hitch compatibility for your specific unit. If you have any other questions or need further assistance, feel free to ask!</t>
  </si>
  <si>
    <t>Requested for more information on the mower to determine the hitch needed</t>
  </si>
  <si>
    <t>It appears that there are no specific fitment details available for the Ferris IS1500Z with a 48-inch deck in the database. To determine the setup for your Classic Cyclone Rake, I recommend the following steps:
1. **Contact Customer Support:** Reach out to Cyclone Rake's customer support for assistance. They may have additional information or suggestions for your specific model.
2. **Consult a Dealer:** Visit a local dealer or retailer that specializes in Cyclone Rake products. They may have experience with similar setups and can provide guidance.
3. **Check Online Forums:** Engage with online communities or forums where other Ferris mower owners share their experiences. They may have insights or solutions for your specific model.
If you have any other questions or need help with a different model, feel free to ask!</t>
  </si>
  <si>
    <t>I have a Ferris IS1500Z (Ladder Back) 48" what is the set up for my classic rake?</t>
  </si>
  <si>
    <t>Tractor is in TDB with full set up.</t>
  </si>
  <si>
    <t>Part numbers and compatibility are all in tdb.</t>
  </si>
  <si>
    <t>Is my electric mower compatible with your Cyclone Rakes?</t>
  </si>
  <si>
    <t>Electric mowers are generally supported by Cyclone Rakes only if they meet specific criteria. Here are some key points to consider:
1. **Discharge Type:** The electric mower must have an open discharge (no mulching) to ensure proper operation with the Cyclone Rake.
2. **Hitch Availability:** There must be a standard hitch available for the electric mower to connect to the Cyclone Rake.
3. **Weight Capacity:** Ensure that the electric mower can handle the weight of the Cyclone Rake when fully loaded.
4. **Manufacturer Recommendations:** Always check the manufacturer's guidelines for your specific electric mower model to see if it is compatible with attachments like the Cyclone Rake.
If you provide the make and model of your electric mower, I can help check for compatibility!</t>
  </si>
  <si>
    <t>Provided key points needed to be able to determine if it will be compatible. But did not mention that we may not have the supported MDA to fit the electric mower type of discharge.</t>
  </si>
  <si>
    <t>Needed more information on flags of using the electric mower and compatibility with the hitch and MDA</t>
  </si>
  <si>
    <t>Is my stand on mower compatible with any of your cyclone rakes?</t>
  </si>
  <si>
    <t>Stand-on mowers are generally not recommended for use with Cyclone Rakes due to stability and safety concerns. Here are some reasons why:
1. **Stability Issues:** Stand-on mowers can be less stable when towing heavy attachments like Cyclone Rakes, which may lead to safety risks.
2. **Hitch Compatibility:** Many stand-on mowers do not have a standard hitch that is compatible with Cyclone Rakes.
3. **Weight Distribution:** The weight distribution on stand-on mowers may not be suitable for towing, especially when the Cyclone Rake is fully loaded.
4. **Manufacturer Recommendations:** Always check the manufacturer's guidelines for your specific stand-on mower model to see if it is compatible with attachments like the Cyclone Rake.
If you have a specific stand-on mower model in mind, please provide that information, and I can help check for any potential compatibility!</t>
  </si>
  <si>
    <t>The agent processed the configuration (Black tapered bag, Green blower, Tecumseh 6 HP engine, seven-inch intake), repeatedly focused on intake validation, entered a blocked comparison state, and failed to identify the likely model despite having a combination that significantly narrows the platform.</t>
  </si>
  <si>
    <t>Provided information on compatibility and reasons why stand-on mowers re not recommended</t>
  </si>
  <si>
    <t>Identified Vanguard 6.5 HP Cyclonic – 12V332-0136-F1 for 106 – Commander Pro. Included specs: 8" deck hose, green blower, air filter 01-01-2147, EMK 213VG.</t>
  </si>
  <si>
    <t>correct answer provided</t>
  </si>
  <si>
    <t>Engine identification correctly matched rake model, horsepower, and Cyclonic filter constraint. High-confidence lock was appropriate.</t>
  </si>
  <si>
    <t>Vanguard 6.5 HP Cyclonic – 12V332-0136-F1</t>
  </si>
  <si>
    <t>Do you have a hitch to fit my stand-on mower?</t>
  </si>
  <si>
    <t>With a Black tapered collector bag, Green blower housing, Tecumseh 6 HP engine, and seven-inch intake, the unit is a Cyclone Rake 104 – Commercial PRO (early production configuration).</t>
  </si>
  <si>
    <t>To determine if there is a hitch available for your stand-on mower, I would need to know the specific make and model of the mower. Different stand-on mowers have different hitch requirements, and compatibility can vary widely.
If you can provide the exact make and model of your stand-on mower, I can help check for compatible hitch options. Alternatively, you may want to contact the manufacturer of your stand-on mower or a local dealer for assistance with hitch compatibility for your specific unit. If you have any other questions or need further assistance, feel free to ask!</t>
  </si>
  <si>
    <t>We do not make any hitches for stand-on mowers</t>
  </si>
  <si>
    <t>There are no hitches compatible with stand-on mowers</t>
  </si>
  <si>
    <t>Identified Intek 7 HP – 122032-0134-B1 for 102 – Commercial. Included specs: Flat Square filter, 7" deck hose, green blower, air filter 01-01-753 / 01-01-756, EMK 01-02-200.</t>
  </si>
  <si>
    <t>Intek 7 HP – 122032-0134-B1</t>
  </si>
  <si>
    <t>I have a Z-10 and want to know what hose length I will need to attach my Encore Edge 60" deck?</t>
  </si>
  <si>
    <t>For your Encore Edge 60" mower, here are the compatible parts needed to connect it to a Classic Cyclone Rake:
### Recommended Setup for Classic Cyclone Rake:
1. **MDA (Mower Deck Adapter):**
   - OEM: [206J](https://www.cyclonerake.com/md4896584651a) (Aftermarket: [A206J](https://www.cyclonerake.com/206j-uncut-green-classic-mda-to-7-inch-hosea206j))
2. **Hitch:**
   - OEM: [208-090Z](https://www.cyclonerake.com/208-090z-hitch-bar-box-90-degree-wreinforcing-plate208-090z) (Aftermarket: [208-090A](https://www.cyclonerake.com/hitch-bar-wreinforcement))
3. **Rubber Collar Kit:**
   - [251](https://www.cyclonerake.com/rubber-collar-7-inch)
4. **Hose:**
   - OEM: [310](https://www.cyclonerake.com/pvc-hose9) (Aftermarket: [RPVC-07-10](https://www.cyclonerake.com/pvc-hose-7in-dia-x-10ft))
5. **Upgrade Hose:**
   - OEM: [310U](https://www.cyclonerake.com/urethane-hose22) (Aftermarket: [RPUR-07-10](https://www.cyclonerake.com/ure-hose-7in-dia-x-10ft))
### Installation Flags:
- **Deck opening measurements required:** No
- **MDA pre-cut:** No
- **Customer deck drilling required:** Yes
- **Exhaust deflection needed:** No
- **Compatible with Comm Pro / XL / Z-10:** Yes
If you have any more questions or need further assistance, feel free to ask!</t>
  </si>
  <si>
    <t>It provided me with a Classic rake set up instead of Z-10</t>
  </si>
  <si>
    <t>Returned shortlist: Vanguard 8 HP (19L132-0110-F1) and Vanguard E-Start 8 HP (19L137-0124-F1). Noted both match 8 HP + Canister filter on 133 – CRS XL. Recommended verifying engine label.</t>
  </si>
  <si>
    <t>Should of said a 306Z (Rpur-10-06)</t>
  </si>
  <si>
    <t>Both engines legitimately match the provided constraints. Differentiation depends on whether the unit is recoil start or electric (E-Start). Asking the rep to verify starter type is appropriate.</t>
  </si>
  <si>
    <t>Vanguard 8 HP – 19L132-0110-F1 (recoil) or Vanguard E-Start 8 HP – 19L137-0124-F1 (electric start). Confirm starter type on engine label. Appropriate shortlist behavior. Since both engines match horsepower and filter shape, verifying whether the engine is E-Start is the correct next step. This reflects proper ambiguity handling rather than a filtering failure.</t>
  </si>
  <si>
    <t>How do I install my 208-090 hitch on to my mower?</t>
  </si>
  <si>
    <t>To install the 208-090 hitch onto your mower, follow these general steps. Please refer to the specific installation instructions provided with your hitch for any additional details or requirements:
### Tools Needed:
- Wrenches or socket set
- Screwdrivers
- Torque wrench (if specified)
### Installation Steps:
1. **Prepare the Mower:**
   - Park the mower on a flat, level surface and engage the parking brake.
   - Ensure the mower is turned off and the key is removed.
2. **Locate Mounting Points:**
   - Identify the mounting points on the rear of your mower where the hitch will be attached. These are usually pre-drilled holes.
3. **Align the Hitch:**
   - Position the 208-090 hitch against the mounting points on the mower. Ensure that the hitch is oriented correctly, with the mounting holes aligned with those on the mower.
4. **Insert Bolts:**
   - Insert the provided bolts through the hitch and into the mounting holes on the mower. If spacers or washers are included, make sure to use them as specified.
5. **Tighten Bolts:**
   - Using a wrench or socket, tighten the bolts securely. If a torque specification is provided, use a torque wrench to ensure the bolts are tightened to the correct level.
6. **Check Alignment:**
   - Ensure that the hitch is level and properly aligned. Adjust if necessary.
7. **Final Inspection:**
   - Double-check all connections and ensure that everything is secure. Make sure there are no loose parts.
8. **Test the Hitch:**
   - Before using the hitch with any attachments, perform a test to ensure it is securely mounted and functioning properly.
### Safety Tips:
- Always wear safety gear, such as gloves and safety glasses, during installation.
- If you are unsure about any part of the installation, consult the manufacturer's instructions or seek assistance from a professional.
If you have any specific questions or need further assistance, feel free to ask!</t>
  </si>
  <si>
    <t>Should provide link to the instructions sheet</t>
  </si>
  <si>
    <t>Correct answer giving but missing links to the instructions sheet</t>
  </si>
  <si>
    <t>Can I use my ATV on the Cyclone Rake?</t>
  </si>
  <si>
    <t>Using an ATV with a Cyclone Rake is generally not recommended due to several factors:
1. **Stability Issues:** ATVs may not provide the stability needed when towing heavy attachments like a Cyclone Rake, especially on uneven terrain.
2. **Hitch Compatibility:** Many ATVs do not have a standard hitch that is compatible with Cyclone Rakes, which can lead to difficulties in attachment.
3. **Weight Capacity:** Ensure that your ATV can handle the weight of the Cyclone Rake when fully loaded. Most ATVs have lower towing capacities compared to tractors.
4. **Manufacturer Recommendations:** Always check the manufacturer's guidelines for your specific ATV model to see if it is compatible with attachments like the Cyclone Rake.
If you have a specific ATV model in mind, please provide that information, and I can help check for any potential compatibility!</t>
  </si>
  <si>
    <t>Provided information on compatibility.</t>
  </si>
  <si>
    <t>Gave compatibility information as well as some more details on why the ATV might not be recommended</t>
  </si>
  <si>
    <t>are the larger cyclone rakes compatible with my Huskee 13AI678G131 42"</t>
  </si>
  <si>
    <t>For your Huskee 13AI678G131 with a 42-inch deck, here are the compatible parts needed to connect it to a Commander Cyclone Rake:
### Recommended Setup for Commander Cyclone Rake:
1. **MDA (Mower Deck Adapter):**
   - OEM: [230G](https://www.cyclonerake.com/mdahxxhhx) (Aftermarket: [A230G](https://www.cyclonerake.com/mower-deck-adapter-8-inch-green230g-uncut-green-mda-to-8-inch-hosea230g))
2. **Hitch:**
   - OEM: [208-070](https://www.cyclonerake.com/208-070-70-degree-hitch-bar208-070) (Aftermarket: [208-070A](https://www.cyclonerake.com/hitch-bar-70-deg-whardware))
3. **Rubber Collar Kit:**
   - [250](https://www.cyclonerake.com/rubber-collar-8-inch)
4. **Hose:**
   - OEM: [304JP](https://www.cyclonerake.com/pvc-hose4) (Aftermarket: [RPVC-08-04](https://www.cyclonerake.com/pvc-hose-8in-dia-x-4ft))
5. **Upgrade Hose:**
   - OEM: [304UJP](https://www.cyclonerake.com/urethane-hose6) (Aftermarket: [RPUR-08-04](https://www.cyclonerake.com/ure-hose-8in-dia-x-4ft))
### Installation Flags:
- **Deck opening measurements required:** No
- **MDA pre-cut:** No
- **Customer deck drilling required:** Yes
- **Exhaust deflection needed:** No
- **Compatible with Comm Pro / XL / Z-10:** Yes
If you have any more questions or need further assistance, feel free to ask!</t>
  </si>
  <si>
    <t>Tractor is compatible with all Cyclone Rakes</t>
  </si>
  <si>
    <t>Only gave me set up for a Commander rake</t>
  </si>
  <si>
    <t>Is the MDA pre cut for my Huskee 13AI678G131 42"</t>
  </si>
  <si>
    <t>For the Huskee 13AI678G131 with a 42-inch deck, the MDA (Mower Deck Adapter) is **not pre-cut**. Here are the details:
- **MDA Model:** [230G](https://www.cyclonerake.com/mdahxxhhx) (Aftermarket: [A230G](https://www.cyclonerake.com/mower-deck-adapter-8-inch-green230g-uncut-green-mda-to-8-inch-hosea230g))
- **MDA Pre-Cut:** No
- **Customer Deck Drilling Required:** Yes
If you have any more questions or need further assistance, feel free to ask!</t>
  </si>
  <si>
    <t>Provided correct answer</t>
  </si>
  <si>
    <t>Gave me part number and useable link for the MDA</t>
  </si>
  <si>
    <t>Can I get the specs on the boots for the mower deck adapters?</t>
  </si>
  <si>
    <t>It seems that I don't have specific information on the boots for the mower deck adapters in the database. However, here are some general specifications and considerations for mower deck adapter boots:
### General Specifications for Mower Deck Adapter Boots:
1. **Material:** Typically made from durable rubber or urethane to withstand wear and tear.
2. **Diameter:** The diameter usually matches the hose size (e.g., 7 inches or 8 inches) to ensure a proper fit.
3. **Length:** Varies depending on the specific adapter and mower model; typically designed to create a secure connection between the mower deck and the hose.
4. **Flexibility:** Boots should be flexible enough to accommodate movement while maintaining a tight seal.
5. **Compatibility:** Ensure that the boots are compatible with the specific MDA and hose being used.
### Recommendations:
- **Check Manufacturer Documentation:** For the most accurate specifications, refer to the documentation provided with your Cyclone Rake or contact customer support.
- **Consult a Dealer:** A local dealer may have detailed information on the specific boots for your mower deck adapters.
If you have any specific questions or need further assistance, feel free to ask!</t>
  </si>
  <si>
    <t>Provided right answer as well as telling the customer to contact a phone rep to get further information on boots specs</t>
  </si>
  <si>
    <t>Whats the set up for my Greenworks Maximus  60"</t>
  </si>
  <si>
    <t>It appears that there are no specific fitment details available for the Greenworks Maximus 60" in the database. To determine the setup for your Cyclone Rake, I recommend the following steps:
1. **Contact Customer Support:** Reach out to Cyclone Rake's customer support for assistance. They may have additional information or suggestions for your specific model.
2. **Consult a Dealer:** Visit a local dealer or retailer that specializes in Cyclone Rake products. They may have experience with similar setups and can provide guidance.
3. **Check Online Forums:** Engage with online communities or forums where other Greenworks mower owners share their experiences. They may have insights or solutions for your specific model.
If you have any other questions or need help with a different model, feel free to ask!</t>
  </si>
  <si>
    <t>No set up or compatibility provided</t>
  </si>
  <si>
    <t>Tractor set up is in TDB</t>
  </si>
  <si>
    <t>can i connect my cyclone rake to my mower which has a 2" receiver?</t>
  </si>
  <si>
    <t>Connecting a Cyclone Rake to a mower with a 2-inch receiver is generally possible, but it depends on the specific model of the Cyclone Rake and the mower. Here are some considerations:
1. **Hitch Compatibility:** Ensure that the hitch for the Cyclone Rake is compatible with a 2-inch receiver. Some Cyclone Rake models may require a specific hitch that fits a 2-inch receiver.
2. **Weight Capacity:** Check the weight capacity of both the mower and the Cyclone Rake to ensure that the mower can handle the load when fully loaded.
3. **Stability:** Consider the stability of the mower when towing a Cyclone Rake. Ensure that the mower can maintain balance and control while towing.
4. **Manufacturer Recommendations:** Always refer to the manufacturer's guidelines for both the Cyclone Rake and the mower to confirm compatibility.
If you provide the specific model of your mower and the Cyclone Rake, I can help check for compatibility!</t>
  </si>
  <si>
    <t>They should have provided a part number for the 2" receiver adapter</t>
  </si>
  <si>
    <t>Correct information given but missing part number with link to guide customer to the exact webpage</t>
  </si>
  <si>
    <t>The agent evaluated the configuration (Black tapered bag, Green blower, Intek 7 HP engine), became stalled in intake-size comparison logic, and failed to narrow the model range even though the bag and blower combination clearly limits the possibilities.</t>
  </si>
  <si>
    <t>A Black tapered collector bag paired with a Green blower housing significantly narrows the platform. With this configuration, the unit most commonly aligns with a 104 – Commercial PRO if equipped with the seven-inch system or a 107 – Commercial PRO JetPath if equipped with the eight-inch system. The Intek 7 HP engine was used across both platforms depending on production period. The agent did not apply this logical narrowing and instead remained blocked in intake validation logic.</t>
  </si>
  <si>
    <t>Restarted intake flow and asked for horsepower, despite receiving complete identification cues (110 Commercial Pro*, XR brand, 9.5 ft/lb torque, Canister filter). Provided no engine identification or parts info.</t>
  </si>
  <si>
    <t>With a Black tapered bag and Green blower, the unit is most likely a 104 – Commercial PRO (seven-inch system) or a 107 – Commercial PRO JetPath (eight-inch system), and confirming the intake diameter determines the exact model.</t>
  </si>
  <si>
    <t>The agent reviewed the configuration (Black tapered bag, Green blower, Vanguard 6.5 HP Phase I engine), became stalled in intake-size validation logic, and failed to properly account for the possibility that the engine may have been upgraded, which prevented accurate narrowing of the likely model range.</t>
  </si>
  <si>
    <t>A Black tapered collector bag with a Green blower housing narrows the platform to either a 104 – Commercial PRO (seven-inch system) or a 107 – Commercial PRO JetPath (eight-inch system). The Vanguard 6.5 HP Phase I engine could also represent a later engine upgrade. The agent did not factor in upgrade scenarios and instead remained blocked in intake comparison logic rather than narrowing the base chassis model first.</t>
  </si>
  <si>
    <t>With a Black tapered bag and Green blower, the unit is most likely a 104 – Commercial PRO if it uses the seven-inch system or a 107 – Commercial PRO JetPath if it uses the eight-inch system, and the Vanguard 6.5 HP Phase I engine may either be original to the production run or a later engine upgrade.</t>
  </si>
  <si>
    <t>The agent reviewed the configuration (Black tapered bag, Green blower, Vanguard 6.5 HP Phase II engine), became stalled in intake-size comparison logic, and failed to properly evaluate the platform based on bag and blower configuration while also not recognizing that this engine was not originally offered on that production setup.</t>
  </si>
  <si>
    <t>A Black tapered collector bag with a Green blower housing narrows the chassis to either a 104 – Commercial PRO (seven-inch system) or a 107 – Commercial PRO JetPath (eight-inch system). The Vanguard 6.5 HP Phase II engine was not originally offered on early production versions of these models and therefore likely represents a later engine upgrade. The agent did not distinguish between original production engines and upgraded engines and instead remained blocked in intake validation logic.</t>
  </si>
  <si>
    <t>With a Black tapered bag and Green blower, the unit is most likely a 104 – Commercial PRO if equipped with the seven-inch system or a 107 – Commercial PRO JetPath if equipped with the eight-inch system, and the Vanguard 6.5 HP Phase II engine would indicate a later upgrade rather than the original factory configuration.</t>
  </si>
  <si>
    <t>The agent evaluated the configuration (Black tapered bag, Green blower, XR950 engine), became stalled in intake-size validation logic, and instead of logically narrowing the chassis platform, advised checking the catalog or requiring human review to proceed.</t>
  </si>
  <si>
    <t>A Black tapered collector bag with a Green blower housing clearly narrows the chassis to either a 104 – Commercial PRO (seven-inch system) or a 107 – Commercial PRO JetPath (eight-inch system). The XR950 engine may represent either a later upgraded replacement. Rather than identifying these likely candidates and using intake size to finalize the model.</t>
  </si>
  <si>
    <t>With a Black tapered bag and Green blower, the unit is most likely a 104 – Commercial PRO if equipped with the seven-inch system or a 107 – Commercial PRO JetPath if equipped with the eight-inch system, and the XR950 engine reflects an engine upgrade.</t>
  </si>
  <si>
    <t>The agent reviewed the configuration (Black tapered bag, Green blower, Vanguard 6.5 HP Cyclonic engine), became stalled in intake-size validation logic, and escalated toward catalog or human review instead of logically narrowing the base chassis model while recognizing the engine as an upgrade.</t>
  </si>
  <si>
    <t>A Black tapered collector bag with a Green blower housing narrows the chassis to either a 104 – Commercial PRO (seven-inch system) or a 107 – Commercial PRO JetPath (eight-inch system). The Vanguard 6.5 HP Cyclonic engine was not part of the original production configuration for those early units and would represent a later engine upgrade only. The agent failed to separate chassis identification from engine replacement scenarios and unnecessarily escalated rather than identifying the correct base platform first.</t>
  </si>
  <si>
    <t>With a Black tapered bag and Green blower, the unit is most likely a 104 – Commercial PRO if equipped with the seven-inch system or a 107 – Commercial PRO JetPath if equipped with the eight-inch system, and the Vanguard 6.5 HP Cyclonic engine indicates a later upgrade rather than an original production engine.</t>
  </si>
  <si>
    <t>The agent reviewed the configuration (Black tapered bag, Yellow blower housing, Vanguard 9 HP Phase I engine, eight-inch intake), became stalled in intake-size comparison logic referencing incorrect green blower candidates, and advised checking the catalog or requiring human review rather than completing model identification.</t>
  </si>
  <si>
    <t>A Black tapered collector bag with a Yellow blower housing, Vanguard 9 HP Phase I engine, and eight-inch system clearly aligns with the 111 – Cyclone Rake XL platform. The yellow blower and higher horsepower engine . The agent incorrectly compared against green blower configurations and escalated unnecessarily instead of logically matching the attributes.</t>
  </si>
  <si>
    <t>With a Black tapered bag, Yellow blower housing, Vanguard 9 HP Phase I engine, and eight-inch intake, the unit is a 111 – Cyclone Rake XL.</t>
  </si>
  <si>
    <t>The agent evaluated the configuration (Black tapered bag, Yellow blower housing, Vanguard 8 HP engine, eight-inch intake), incorrectly compared the unit against green blower models, became stalled in intake-size validation logic, and advised verification or human review instead of identifying the correct model.</t>
  </si>
  <si>
    <t>With a Black tapered bag, Yellow blower housing, Vanguard 8 HP engine, and eight-inch intake, the unit is a 111 – Cyclone Rake XL.</t>
  </si>
  <si>
    <t>A Black tapered collector bag combined with a Yellow blower housing, Vanguard 8 HP engine, and eight-inch system clearly aligns with the 111 – Cyclone Rake XL platform. The yellow blower and higher horsepower engine . The agent failed to use the blower color and engine size as primary identifiers and instead compared against incorrect green blower configurations, resulting in an unnecessary blocked state.</t>
  </si>
  <si>
    <t>The agent evaluated the configuration (Black tapered bag, Yellow blower housing, Vanguard E-Start 8 HP engine), became stalled in intake-size comparison logic, referenced incorrect green blower candidates, and advised catalog verification or human review instead of identifying the model based on the clearly distinctive attributes.</t>
  </si>
  <si>
    <t>A Black tapered collector bag combined with a Yellow blower housing, Vanguard 8 HP E-Start engine, and the eight-inch system distinctly identifies the 111 – Cyclone Rake XL platform. The yellow blower and higher horsepower E-Start configuration are defining characteristics of the XL series and eliminate other model possibilities. The agent failed to prioritize these key identifiers and instead escalated unnecessarily.</t>
  </si>
  <si>
    <t>With a Black tapered bag, Yellow blower housing, and Vanguard E-Start 8 HP engine, the unit is a 111 – Cyclone Rake XL.</t>
  </si>
  <si>
    <t>The agent evaluated the configuration (Black tapered bag, Yellow blower housing, Vanguard 10 HP engine), continued comparing against incorrect green blower candidates, remained stuck in intake-size validation logic, and advised verification or human review instead of recognizing the higher horsepower and larger intake configuration.</t>
  </si>
  <si>
    <t>A Black tapered collector bag combined with a Yellow blower housing, Vanguard 10 HP engine, and a ten-inch blower opening clearly identifies the 112 – Cyclone Rake Z-10 platform. The ten-inch system and higher horsepower engine distinguish it from all seven-inch and eight-inch platforms. The agent failed to recognize the defining ten-inch configuration and incorrectly continued evaluating against smaller-system models.</t>
  </si>
  <si>
    <t>With a Black tapered bag, Yellow blower housing, Vanguard 10 HP engine, and ten-inch blower opening, the unit is a 112 – Cyclone Rake Z-10.</t>
  </si>
  <si>
    <t>The agent reviewed the configuration (Black tapered bag, Yellow blower housing, Vanguard E-Start 10 HP engine), incorrectly compared the unit against smaller green blower models, remained stalled in intake-size validation logic, and advised further verification or human review instead of identifying the correct high-capacity platform.</t>
  </si>
  <si>
    <t>A Black tapered collector bag paired with a Yellow blower housing, Vanguard E-Start 10 HP engine, and the larger ten-inch blower system clearly identifies the 112 – Cyclone Rake Z-10 platform. The ten-inch intake and higher horsepower configuration distinctly separate it from seven-inch and eight-inch models. The agent failed to recognize the defining ten-inch system and continued evaluating against incorrect lower-capacity platforms.</t>
  </si>
  <si>
    <t>With a Black tapered bag, Yellow blower housing, Vanguard E-Start 10 HP engine, and ten-inch blower opening, the unit is a 112 – Cyclone Rake Z-10.</t>
  </si>
  <si>
    <t>The agent failed to use the provided attributes. “XR + 9.5 ft/lb torque + Canister” is already sufficient to identify the engine as XR 950, so asking for horsepower is unnecessary and blocks resolution. This is a context-utilization / decision-tree failure.</t>
  </si>
  <si>
    <r>
      <rPr>
        <b/>
        <sz val="11"/>
        <color rgb="FF000000"/>
        <rFont val="Calibri"/>
        <family val="2"/>
      </rPr>
      <t>XR 950</t>
    </r>
    <r>
      <rPr>
        <sz val="11"/>
        <color rgb="FF000000"/>
        <rFont val="Calibri"/>
        <family val="2"/>
      </rPr>
      <t xml:space="preserve"> (9.5 ft/lb torque, Canister filter) on 110 – Commercial Pro*. This was a workflow failure. The agent ignored a fully-specified input and reverted to a generic script, producing no useful result. It should have immediately identified XR 950 from the torque + filter + brand cues.</t>
    </r>
  </si>
  <si>
    <t>Identified Vanguard 6.5 HP Phase II – 13L332-0119-F8 for 110 – Commercial Pro*. Included specs: 8" deck hose, green blower, air filter 01-01-1909, EMK 213.</t>
  </si>
  <si>
    <t>Engine identification properly matched rake model, horsepower, and Canister filter constraint. High-confidence lock was appropriate and accurate.</t>
  </si>
  <si>
    <t>Vanguard 6.5 HP Phase II – 13L332-0119-F8</t>
  </si>
  <si>
    <t>he agent collected the bag color (green), bag shape (tapered), and blower housing color (green), then got stuck when the intake diameter was given as both seven-inch and eight-inch, and instead of narrowing the possibilities it returned incorrect black-bag model candidates and advised verification or human review rather than identifying the green-bag models that actually match the stated configuration.</t>
  </si>
  <si>
    <t>With a green tapered bag and green blower, the model is most likely a 103 if it uses the seven-inch opening, or a 106 or 109 if it uses the eight-inch opening.</t>
  </si>
  <si>
    <t>Identified Vanguard 6.5 HP Cyclonic – 12V332-0136-F1 for 103 – PRO. Included specs: 7" deck hose, green blower, air filter 01-01-2147, EMK 213VG.</t>
  </si>
  <si>
    <t>The agent collected the bag color (green), bag shape (tapered), and blower housing color (green), then got stuck when the intake diameter was given as both seven-inch and eight-inch, and instead of narrowing the possibilities it returned incorrect black-bag model candidates and advised verification or human review rather than identifying the green-bag models that actually match the stated configuration.</t>
  </si>
  <si>
    <t>he agent ignored the provided green tapered bag detail and mistakenly compared the input against black tapered models, which is a clear context and attribute-matching error. With a green tapered bag and green blower, the correct approach is to branch by intake size: seven-inch points toward the 103 platform, while eight-inch points toward larger-intake Commander-style platforms like 106 or 109. The agent failed to present the correct candidate models and therefore could not identify the unit.</t>
  </si>
  <si>
    <t>The agent ignored the provided green  bag detail and mistakenly compared the input against black tapered models, which is a clear context and attribute-matching error. With a green tapered bag and green blower, the correct approach is to branch by intake size: seven-inch points toward the multiple 101.103.105model platform, while eight-inch points toward larger-intake with different models like 106,109. The agent failed to present the correct candidate models and therefore could not identify the unit.</t>
  </si>
  <si>
    <t>Engine identification properly matched rake model, horsepower, and Flat Square filter constraint. High-confidence lock was appropriate and accurate.</t>
  </si>
  <si>
    <t>Vanguard 9 HP Phase I – 20H132-0111-B1</t>
  </si>
  <si>
    <t>Identified Vanguard 9 HP Phase I – 20H132-0111-B1 for 111 – XL. Included specs: Flat Square filter, 8" deck hose, yellow blower, air filter 01-01-753 / 01-01-756, EMK 01-02-200</t>
  </si>
  <si>
    <t>The agent attempted to identify the model using the provided Intek 6 HP engine detail but returned incorrect black-bag model candidates, became stuck in intake-size validation logic, and advised verification or human review rather than narrowing the correct green-bag platforms that match an Intek 6 HP configuration.</t>
  </si>
  <si>
    <t>The response ignored the core constraint that the unit is being identified from an Intek 6 HP engine configuration and mistakenly compared against black tapered bag models. With an Intek 6 HP engine, the correct identification path is to branch by intake diameter: seven-inch aligns with the 103 platform, while eight-inch aligns with the 106 platform. The agent failed to present these correct candidates and instead surfaced unrelated models.</t>
  </si>
  <si>
    <t>With an Intek 6 HP engine Green bag, the unit is most likely a 103 if it has a seven-inch intake, or a 106 if it has an eight-inch intake.</t>
  </si>
  <si>
    <t>Identified Vanguard 6.5 HP Phase I – 12H332-0114-B8 for 101 – Standard Complete Platinum. Included specs: Flat Square filter, 7" deck hose, green blower, air filter 01-01-753 / 01-01-756, EMK 01-02-200.</t>
  </si>
  <si>
    <t>Engine identification correctly matched rake model, horsepower, and Flat Square filter constraint. High-confidence lock was appropriate and accurate.</t>
  </si>
  <si>
    <t>Returned shortlist of Vanguard 6.5 HP Phase II (Canister) and Vanguard 6.5 HP Cyclonic (Cyclonic) for 102 – Commercial. Flagged filter-shape conflict and recommended verifying filter shape.</t>
  </si>
  <si>
    <t>he prompt explicitly specified Filter: Flat Square, yet neither shortlisted engine matched that constraint. The agent failed to recognize that no Vanguard 6.5 HP with a Flat Square filter exists for the 102 – Commercial. Instead of presenting mismatched options, it should have identified the configuration as invalid. This is a constraint-validation failure.</t>
  </si>
  <si>
    <t>No matching configuration. The 102 – Commercial did not use a Vanguard 6.5 HP with a Flat Square filter.</t>
  </si>
  <si>
    <t>The agent ignored the Green bag detail and incorrectly compared against black tapered models. With an XR950 engine, the correct identification should branch by intake diameter because the engine appears across different platforms: the seven-inch system aligns with the 105 platform, while the eight-inch system aligns with the 109 platform, and the XR950 can also appear as an upgrade on earlier green-bag models such as 101, 103, or 106. The agent failed to apply this logic and provided unrelated candidates.</t>
  </si>
  <si>
    <t>The agent attempted model identification using the provided Green bag and XR950 engine details but returned incorrect black-bag model candidates, became stuck in intake-size validation logic, and advised verification or human review instead of narrowing the correct green-bag platforms that match an XR950 configuration.</t>
  </si>
  <si>
    <t>With a Green bag and an XR950 engine, the unit is most likely a 105 if it uses a seven-inch intake or a 109 if it uses an eight-inch intake, and if the unit is an older green-bag model the XR950 may also be an engine upgrade on platforms such as 101, 103, or 106.</t>
  </si>
  <si>
    <t>The agent requested additional intake verification, compared against unrelated mid-size models, and became stuck in seven-inch versus eight-inch logic instead of recognizing that a ten horsepower Vanguard E-Start configuration falls into a higher-capacity platform category.</t>
  </si>
  <si>
    <t>A Vanguard E-Start ten horsepower engine is not used on the 102, 104, or 107 platforms. That engine size is specific to the largest production unit with the oversized intake system. Once the ten horsepower engine and ten-inch intake were provided, the model should have been immediately identified rather than redirected into smaller seven- or eight-inch platforms.</t>
  </si>
  <si>
    <t>With a black bag, Vanguard E-Start ten horsepower engine, and a ten-inch blower opening, the unit is a 112 – Cyclone Rake Z-10.</t>
  </si>
  <si>
    <t>Returned shortlist: Vanguard 6.5 HP Phase I (Flat Square) and Vanguard 6.5 HP Cyclonic (Canister). Flagged a filter-shape conflict and recommended verifying filter shape.</t>
  </si>
  <si>
    <t>The prompt explicitly specified Filter: Flat Square, which eliminates the Cyclonic (Canister) option. The agent failed to apply the provided constraint and should have returned a single high-confidence match instead of a shortlist. This is a constraint-application and confidence-scoring failure.</t>
  </si>
  <si>
    <t>Vanguard 6.5 HP Phase I – 12H332-0114-B8 (matches 103 – PRO, 6.5 HP, Flat Square filter).</t>
  </si>
  <si>
    <t>The agent acknowledged the bag color but continued restarting the identification flow instead of narrowing the model range based on the confirmed black collector.</t>
  </si>
  <si>
    <t>With a black collector already confirmed, the agent could have immediately narrowed the possible platforms by intake size instead of repeating earlier qualification steps. At that point, the remaining differentiator is the blower opening diameter, which separates the model families clearly.</t>
  </si>
  <si>
    <t>With a black collector and green blower housing, the possible models narrow by intake size: seven-inch intake indicates a 102 or 104 platform, eight-inch intake indicates a 107, 110, or 111 platform, and a ten-inch intake identifies the 112 (Z-10). The next correct step would be confirming the blower opening diameter to determine the exact model.</t>
  </si>
  <si>
    <t>Identified Tecumseh 6 HP – OHH60 for 102 – Commercial. Included specs: Flat Square filter, 7" deck hose, green blower, no EMK available</t>
  </si>
  <si>
    <t>Tecumseh 6 HP – OHH60</t>
  </si>
  <si>
    <t>The agent ignored the confirmed green tapered collector configuration and defaulted to black-bag model comparisons, then escalated for verification instead of narrowing the model range logically.</t>
  </si>
  <si>
    <t>A green tapered collector immediately eliminates black-bag platforms. The correct narrowing should have been based on intake diameter. The agent instead referenced incorrect black-bag candidates and triggered unnecessary review rather than applying product differentiation logic.</t>
  </si>
  <si>
    <t>: With a green tapered collector, the valid model paths are determined by intake size: a seven-inch intake indicates a 103, while an eight-inch intake indicates a 106 or 109. The blower opening diameter is the final required detail to confirm the exact model.</t>
  </si>
  <si>
    <t>Returned shortlist: Vanguard 6.5 HP Cyclonic and Vanguard 6.5 HP Phase II. Also referenced 106 – Commander Pro as a possible match. Flagged conflicts in filter shape and deck hose diameter.</t>
  </si>
  <si>
    <t>The prompt explicitly specified Filter: Canister, which eliminates the Cyclonic engine. Additionally, introducing the 106 – Commander Pro was outside the requested rake model (104 – Commercial PRO). The agent over-expanded the scope instead of locking to the correct engine based on provided constraints.</t>
  </si>
  <si>
    <t>Vanguard 6.5 HP Phase II – 13L332-0119-F8 (matches 104 – Commercial PRO, 6.5 HP, Canister filter). This was a filtering and scope-control issue. The provided attributes fully narrowed the result, but the agent introduced unnecessary alternatives and cross-model noise instead of confidently returning the single correct engine.</t>
  </si>
  <si>
    <t>The agent continued restarting basic identification questions instead of using the confirmed tapered bag shape and green blower housing to narrow the model range logically.</t>
  </si>
  <si>
    <t>With a tapered collector and green blower already confirmed, the agent should have shifted to intake diameter to separate seven-inch and eight-inch platforms. Re-asking for bag color ignored available information and showed poor narrowing logic.</t>
  </si>
  <si>
    <t>With a tapered collector and green blower, the model must fall into the tapered-bag series; a seven-inch intake would indicate a 103 or 104 platform, while an eight-inch intake would indicate a 106, 107, 109, or 110 platform. The intake diameter is the deciding factor to confirm the exact model.</t>
  </si>
  <si>
    <t>The agent asked for bag shape instead of narrowing the model range using the already confirmed black bag and yellow blower housing.</t>
  </si>
  <si>
    <t>A black collector paired with a yellow blower housing immediately limits the possibilities to the large-frame platforms. The agent missed the opportunity to narrow it down and instead restarted the identification flow. The only remaining differentiator at that point should have been intake diameter.</t>
  </si>
  <si>
    <t>: A black collector with a yellow blower housing limits the unit to either the 111 (XL) with an eight-inch intake or the 112 (Z-10) with a ten-inch intake. The intake diameter determines which of the two models it is.</t>
  </si>
  <si>
    <t>The agent ignored the confirmed green straight collector configuration, returned incorrect black tapered model candidates, and stalled in intake-size logic instead of narrowing the correct green straight-bag platforms.</t>
  </si>
  <si>
    <t>A green straight collector with a green blower immediately eliminates black-bag/tapered platforms. With this configuration, the correct narrowing is to the green straight-bag family that uses the seven-inch system. The agent failed to apply bag-color/shape gating and produced unrelated black tapered candidates.</t>
  </si>
  <si>
    <t>With a green straight collector bag and green blower housing, the unit is most likely a 101 or 105 platform, both using the seven-inch intake system.</t>
  </si>
  <si>
    <t>Returned shortlist: Vanguard 8 HP (19L132-0110-F1) and Vanguard E-Start 8 HP (19L137-0124-F1) for 111 – XL. Both match 8 HP + Canister + 8" hose. Recommended verifying engine label.</t>
  </si>
  <si>
    <t>Both recoil and E-Start variants legitimately match the provided constraints. Medium confidence is appropriate due to starter-type ambiguity.</t>
  </si>
  <si>
    <t>Vanguard 8 HP – 19L132-0110-F1 (recoil) or Vanguard E-Start 8 HP – 19L137-0124-F1 (electric start). Confirm starter type. Proper ambiguity handling. Since both engines match horsepower and filter shape, checking whether the unit is E-Start is the correct next step. Medium confidence was appropriate due to this variant distinction.</t>
  </si>
  <si>
    <t>The agent continued basic identification questioning even after the black straight collector bag was confirmed, instead of recognizing that this configuration uniquely maps to a single model.</t>
  </si>
  <si>
    <t>A black straight collector bag with a green blower housing is a definitive configuration and does not overlap with tapered or green-bag platforms. The agent failed to apply direct configuration logic and unnecessarily continued narrowing questions instead of identifying the model</t>
  </si>
  <si>
    <t>A black straight collector bag with a green blower housing identifies the unit as a Cyclone Rake 102 Commercial.</t>
  </si>
  <si>
    <t>he agent failed to interpret the black collector bag paired with an XR950 engine and instead defaulted to unrelated tapered black bag models, repeatedly requesting intake verification without applying engine-specific logic.</t>
  </si>
  <si>
    <t>An XR950 engine was factory-equipped on the 109 platform and is not standard on earlier black straight or tapered bag models unless upgraded. The agent ignored the engine identifier as a primary narrowing factor and incorrectly recycled generic 102/104 logic, creating confusion and blocking resolution.</t>
  </si>
  <si>
    <t>A black collector bag with an XR950 engine most directly aligns with a Cyclone Rake 109 (factory configuration). However, XR950 engines may also appear as upgrades on earlier black-bag models such as the 102 or 104 with a 7-inch intake, or the 107 with an 8-inch intake, so intake diameter confirmation would determine whether it is a 109 (8-inch) or an upgraded earlier unit.</t>
  </si>
  <si>
    <t>The agent failed to factor in the combination of a green blower housing with the Vanguard 6.5 HP Phase II engine and instead defaulted to unrelated model logic without narrowing based on production configurations.</t>
  </si>
  <si>
    <t>A Vanguard 6.5 HP Phase II engine paired with a green blower housing most commonly aligns with the 105 platform in factory configuration. Models 108 and 110 were typically associated with later production styling and larger intake systems. Earlier models below the 110 series could have received this engine as an upgrade, but it was not standard equipment on those units. The agent did not properly differentiate factory-equipped models from upgraded configurations.</t>
  </si>
  <si>
    <t>With a Vanguard 6.5 HP Phase II engine and green blower housing, the most likely factory configuration is a 105. If found on earlier platforms, it would indicate an engine upgrade rather than original production.</t>
  </si>
  <si>
    <t>The agent did not properly evaluate the Vanguard 6.5 HP Phase I engine in context with the green bag configuration and instead defaulted to generic model comparisons without narrowing to realistic production matches.</t>
  </si>
  <si>
    <t>The Vanguard 6.5 HP Phase I engine was commonly associated with mid-generation units. With a green bag configuration, the most likely factory pairing would be a 105. Earlier green-bag platforms such as 101 or 103 could also have this engine if it was upgraded later, but it was not original equipment on those early Tecumseh models. The agent failed to distinguish between factory builds and possible engine swaps.</t>
  </si>
  <si>
    <t>Returned two identical entries labeled “Vanguard 6.5 HP Phase I” for 110 – Commercial Pro*, both with Flat Square filter and 8" hose. Recommended verifying engine label but provided no distinct engine codes.</t>
  </si>
  <si>
    <t>The agent duplicated the same engine instead of identifying the specific engine model number. No part number/engine code was provided for verification. This is a deduplication and specificity failure. The correct engine should be clearly identified with its engine model number.</t>
  </si>
  <si>
    <t>Vanguard 6.5 HP Phase I – 12H332-0114-B8 (Flat Square filter, 8" system). This was a resolution-quality failure. The system produced duplicate results instead of a single definitive engine identification with a verifiable engine code. This reflects a deduplication and answer-finalization issue rather than a knowledge gap.</t>
  </si>
  <si>
    <t>Returned shortlist: Vanguard 6.5 HP Cyclonic and Vanguard 6.5 HP Phase II. Noted filter shape conflict and recommended verifying filter shape.</t>
  </si>
  <si>
    <t>The prompt explicitly specified Filter: Cyclonic, which eliminates Phase II (Canister). The agent should have returned a single high-confidence result instead of presenting an unnecessary alternative and asking to verify information already provided. Constraint application issue. The provided attributes fully narrowed the result, but the agent unnecessarily presented multiple options and asked to reconfirm known information.</t>
  </si>
  <si>
    <t xml:space="preserve">Vanguard 6.5 HP Cyclonic – 12V332-0136-F1 (for 109 – Commander*, 6.5 HP, Cyclonic filter). </t>
  </si>
  <si>
    <t>Returned shortlist: Vanguard 6.5 HP Phase I (Flat Square) and Vanguard 6.5 HP Phase II (Canister) for 107 – Commercial Pro 8" Jetpath. Recommended verifying filter shape.</t>
  </si>
  <si>
    <t>The prompt explicitly specified Filter: Canister, which eliminates Phase I (Flat Square). The agent should have returned a single high-confidence result instead of a shortlist. This is a constraint-application failure. This was a filtering logic error. The provided attributes fully narrowed the result to Phase II (Canister), but the agent unnecessarily included Phase I and lowered confidence instead of locking the correct engine model.</t>
  </si>
  <si>
    <t>Identified Intek 6 HP – 121232-0115-E1 for 101 – Standard Complete Platinum. Included specs: Flat Square filter, 7" deck hose, green blower, air filter 01-01-753 / 01-01-756, EMK 01-02-200.</t>
  </si>
  <si>
    <t>Restarted intake flow and asked for rake model, despite full structured input being provided (104 – Commercial PRO, XR, 9.5 ft/lb torque, Canister). Returned no engine identification.</t>
  </si>
  <si>
    <t>The agent ignored all provided constraints and reverted to a generic intake script. “XR + 9.5 ft/lb torque + Canister” is sufficient to identify the engine as XR 950. This is a context-utilization and decision-tree failure.</t>
  </si>
  <si>
    <t>XR 950 (9.5 ft/lb torque, Canister filter) for 104 – Commercial PRO.</t>
  </si>
  <si>
    <t>The agent failed to focus on the customer’s actual question about CRS Commander compatibility and instead looped into unrelated legacy model-identification steps, never addressing zero-turn fitment or confirming mower specifics.</t>
  </si>
  <si>
    <t>The CRS Commander and CRS XL are purpose-built for zero-turn mowers and both include the premium urethane hose as standard equipment, but proper fitment of the Single-Pin Hitch System depends on the exact mower model and rear frame design. The agent should have asked for the full Cub Cadet Ultima model number to verify compatibility instead of restarting the bag/blower identification process.</t>
  </si>
  <si>
    <t>Returned shortlist: Vanguard 6.5 HP Phase I (Flat Square) and Vanguard 6.5 HP Cyclonic (Cyclonic). Recommended verifying filter shape.</t>
  </si>
  <si>
    <t>The prompt explicitly specified Filter: Flat Square, which eliminates the Cyclonic option. The agent unnecessarily presented multiple engines instead of locking the single valid match. This is a constraint-application and confidence-scoring issue.</t>
  </si>
  <si>
    <t>Vanguard 6.5 HP Phase I – 12H332-0114-B8 (106 – Commander Pro, 6.5 HP, Flat Square).</t>
  </si>
  <si>
    <t xml:space="preserve">CRS Commander &amp; XL comes standard with the premium urethane hose </t>
  </si>
  <si>
    <t>Returned shortlist: Vanguard 6.5 HP Phase I (Flat Square) and Vanguard 6.5 HP Phase II (Canister). Recommended verifying filter shape despite Flat Square being specified.</t>
  </si>
  <si>
    <t>The prompt explicitly included Filter: Flat Square, which eliminates Phase II (Canister). The agent continues to ask for verification even when the constraint is already provided. This reflects repetitive validation logic and improper constraint locking.</t>
  </si>
  <si>
    <t>Vanguard 6.5 HP Phase I – 12H332-0114-B8 (104 – Commercial PRO, 6.5 HP, Flat Square).</t>
  </si>
  <si>
    <t>Returned shortlist: Vanguard 10 HP and Vanguard E-Start 10 HP for 112 – Z-10. Both match 10 HP + Canister + 10" hose. Recommended verifying engine label.</t>
  </si>
  <si>
    <t>Both recoil and E-Start variants legitimately match the provided constraints. Medium confidence is appropriate due to starter-type ambiguity</t>
  </si>
  <si>
    <t>Vanguard 10 HP (recoil) or Vanguard E-Start 10 HP (electric start). Confirm starter type on engine label.</t>
  </si>
  <si>
    <t>Returned shortlist: XR 950 and Vanguard 6.5 HP for 103 – PRO. Flagged conflicts in horsepower (9.5 ft/lb vs 6.5 HP) and filter shape (Canister vs Flat Square). Recommended verifying horsepower.</t>
  </si>
  <si>
    <t>The prompt explicitly specified XR brand, 9.5 ft/lb torque, and Canister filter, which fully identifies XR 950. Including Vanguard 6.5 HP introduced unnecessary noise, as it does not match the torque or filter constraints. The agent should have locked a single high-confidence result.</t>
  </si>
  <si>
    <t>XR 950 (9.5 ft/lb torque, Canister filter, 7" system for 103 – PRO).</t>
  </si>
  <si>
    <t>Returned shortlist: Vanguard 6.5 HP Phase II (Canister) and Vanguard 6.5 HP Cyclonic (Cyclonic) for 102 – Commercial. Recommended verifying filter shape.</t>
  </si>
  <si>
    <t>The prompt explicitly specified Filter: Canister, which eliminates the Cyclonic option. The agent unnecessarily included an alternative engine and asked for verification despite having sufficient constraints to lock a single result. This reflects over-broad matching and weak constraint enforcement.</t>
  </si>
  <si>
    <t>Returned shortlist: Vanguard 6.5 HP Phase II (Canister) and Vanguard 6.5 HP Cyclonic (Cyclonic) for 109 – Commander*. Did not provide engine model numbers. Recommended verifying filter shape.</t>
  </si>
  <si>
    <t>The prompt explicitly specified Filter: Canister, which eliminates the Cyclonic engine. The agent unnecessarily included an alternative and failed to provide the engine model number (part identifier) for verification. This is both a constraint-application and completeness failure.</t>
  </si>
  <si>
    <t>Identified Intek 6 HP – 121232-0115-E1 for 105 – Classic*. Included specs: Flat Square filter, 7" deck hose, green blower, air filter 01-01-753 / 01-01-756, EMK 01-02-200.</t>
  </si>
  <si>
    <t>Identified Vanguard 6.5 HP Cyclonic – 12V332-0136-F1 for 105 – Classic*. Included specs: 7" deck hose, green blower, air filter 01-01-2147, EMK 213VG.</t>
  </si>
  <si>
    <t>Engine identification correctly matched rake model, horsepower, and Cyclonic filter constraint. High-confidence lock was appropriate and accurate.</t>
  </si>
  <si>
    <t>Identified XR 950 – 130G32-0184-F1 for 109 – Commander*. Included specs: 8" deck hose, green blower, air filter 01-01-2116, EMK 213XR.</t>
  </si>
  <si>
    <t>Engine identification correctly matched rake model, torque rating (9.5 ft/lb), and Canister filter constraint. High-confidence lock was appropriate and accurate.</t>
  </si>
  <si>
    <t>XR 950 – 130G32-0184-F1</t>
  </si>
  <si>
    <t>dentified Intek 7 HP – 122032-0134-B1 for 104 – Commercial PRO. Included specs: Flat Square filter, 7" deck hose, green blower, air filter 01-01-753 / 01-01-756, EMK 01-02-200</t>
  </si>
  <si>
    <t>Returned shortlist: Vanguard 6.5 HP Phase I (Flat Square) and Vanguard 6.5 HP Cyclonic (Cyclonic) for 109 – Commander*. Recommended verifying filter shape.</t>
  </si>
  <si>
    <t>The prompt explicitly specified Filter: Flat Square, which eliminates the Cyclonic option. The agent unnecessarily asked to verify information already provided instead of locking to the single valid engine. This is a constraint-trust and confidence-scoring issue.</t>
  </si>
  <si>
    <t>Vanguard 6.5 HP Phase I – 12H332-0114-B8 (109 – Commander*, 6.5 HP, Flat Square).</t>
  </si>
  <si>
    <t>The agent advised checking the impeller bolt for tightness, inspecting the impeller blades for visible damage, and verifying overall blower alignment before recommending replacement, and referenced the engine/blower vibration troubleshooting guidance multiple times</t>
  </si>
  <si>
    <t>Although the correct troubleshooting steps and article were provided, the same resource was referenced repeatedly, creating unnecessary duplication</t>
  </si>
  <si>
    <t xml:space="preserve">The agent explained that weak suction could be caused by a worn impeller and provided multiple 4-blade and 5-blade replacement impeller part numbers for Classic models based on engine type. </t>
  </si>
  <si>
    <t>Although the impeller options were technically correct, the agent immediately moved to replacement parts without properly emphasizing initial troubleshooting steps and failed to include the official suction troubleshooting article link, which should have been referenced before recommending parts.</t>
  </si>
  <si>
    <t>Weak suction on a Classic model can be caused by a worn or damaged impeller, but the first step is to follow the official troubleshooting guide to check for air leaks, loose impeller bolts, debris buildup inside the blower housing, worn seals, or hose restrictions as outlined here: https://cyclopedia.cyclonerake.com/docs/solving-suction-problems-with-your-cyclone-rake?highlight=suction</t>
  </si>
  <si>
    <t>; if inspection confirms worn or damaged blades, the correct replacement depends on engine type—Tecumseh, Intek, and Vanguard Phase I &amp; II engines use 4-Blade Yellow Impeller Kit (02-03-017) or upgraded 5-Blade Orange Impeller Kit (02-03-020), while XR950-equipped models use 4-Blade Yellow Kit (02-03-018) or 5-Blade Orange Kit (02-03-021), with hardware included in each kit.</t>
  </si>
  <si>
    <t>Returned shortlist of two Vanguard 6.5 HP Cyclonic engines, one tied to 101 – Standard Complete Platinum and one tied to 103 – PRO. Recommended verifying rake model.</t>
  </si>
  <si>
    <t>The prompt explicitly specified Rake: 101 – Standard Complete Platinum, yet the agent still included the 103 – PRO option and asked to verify the model. The rake model constraint was already provided and should have been used to lock a single result. This reflects incomplete constraint enforcement and unnecessary ambiguity.</t>
  </si>
  <si>
    <t>Vanguard 6.5 HP Cyclonic – 12V332-0136-F1 (101 – Standard Complete Platinum, Fall 2019 – Current).</t>
  </si>
  <si>
    <t>The agent clearly confirmed that a dual-pin Commander can be converted to a single-pin setup, explained that a dedicated conversion kit is required, outlined the major components included in the kit such as the redesigned tow bar, hose hanger, hose hammock, urethane deck hose, and support wheels, and referenced both the official conversion article and the CRS single-pin assembly manuals for detailed guidance.</t>
  </si>
  <si>
    <t>No failure; the response accurately addressed the question, referenced the correct Cyclopedia article on converting from dual-pin to single-pin, and appropriately included the CRS assembly manual as a helpful supplemental resource.</t>
  </si>
  <si>
    <t>Returned shortlist: Vanguard 6.5 HP Cyclonic and Vanguard 6.5 HP Phase II for 102 – Commercial. Recommended verifying filter shape.</t>
  </si>
  <si>
    <t>Yes, a dual-pin Commander can be converted to a single-pin configuration by purchasing the official dual-pin to single-pin conversion kit, which includes the updated single-pin tow bar assembly, urethane deck hose, hose hanger and hammock system, and wheel support components; full details are outlined in the article “Converting Your Dual-PPin Cyclone Rake to a Single-Pin Setup,” and assembly guidance is available in the CRS Single-Pin Assembly Manuals &amp; Instructions on Cyclopedia.https://cyclopedia.cyclonerake.com/docs/converting-your-dual-pin-cyclone-rake-to-a-single-pin-setup</t>
  </si>
  <si>
    <t>The prompt explicitly specified Filter: Cyclonic, which eliminates Phase II (Canister). The agent correctly included the Cyclonic engine but unnecessarily added Phase II and requested verification of filter shape already provided. This reflects incomplete constraint locking and reduced confidence handling.</t>
  </si>
  <si>
    <t>Vanguard 6.5 HP Cyclonic – 12V332-0136-F1 (102 – Commercial, 6.5 HP, Cyclonic filter).</t>
  </si>
  <si>
    <t>Restarted intake flow and asked for rake model, despite full structured input being provided (101 – Standard Complete Platinum, XR, 9.5 ft/lb torque, Canister). No engine identified.</t>
  </si>
  <si>
    <t>The agent ignored all provided constraints and reverted to a generic questioning script. “XR + 9.5 ft/lb torque + Canister” is sufficient to identify the engine as XR 950. This is a structured-input handling and context-utilization failure.</t>
  </si>
  <si>
    <t>XR 950 – 130G32-0184-F1 (9.5 ft/lb torque, Canister filter) for 101 – Standard Complete Platinum.</t>
  </si>
  <si>
    <t>Identified Vanguard 6.5 HP Cyclonic – 12V332-0136-F1 for 131 – CRS Commander. Included specs: 8" deck hose, green blower, air filter 01-01-2147, EMK 213VG.</t>
  </si>
  <si>
    <t>Returned shortlist: Vanguard 6.5 HP Phase I (Flat Square) and Vanguard 6.5 HP Cyclonic (Cyclonic) for 103 – PRO. Flagged filter-shape conflicts and recommended verifying filter shape.</t>
  </si>
  <si>
    <t>The prompt explicitly specified Filter: Canister, yet neither returned engine has a Canister filter. The agent failed to recognize that no valid configuration exists for 103 – PRO with Vanguard 6.5 HP and a Canister filter. Instead of shortlisting mismatched engines, it should have flagged the configuration as invalid.</t>
  </si>
  <si>
    <t>No matching configuration. The 103 – PRO did not use a Vanguard 6.5 HP with a Canister filter.</t>
  </si>
  <si>
    <t>Returned shortlist: XR 950 and Vanguard 6.5 HP. Flagged horsepower conflict (9.5 ft/lb vs 6.5 HP) and recommended verifying horsepower.</t>
  </si>
  <si>
    <t>The prompt explicitly specified XR brand + 9.5 ft/lb torque + Canister filter, which fully identifies XR 950. Including Vanguard 6.5 HP introduced unnecessary ambiguity. The agent should have returned a single high-confidence result with the engine model number.</t>
  </si>
  <si>
    <t>XR 950 – 130G32-0184-F1 (131 – CRS Commander, 9.5 ft/lb torque, Canister filter).</t>
  </si>
  <si>
    <t>Identified Vanguard 6.5 HP Cyclonic – 12V332-0136-F1 for 110 – Commercial Pro*. Included specs: 8" deck hose, green blower, air filter 01-01-2147, EMK 213VG.</t>
  </si>
  <si>
    <t>Identified Tecumseh 5 HP – OHH50 for 101 – Standard Complete Platinum. Included specs: Flat Square filter, 7" deck hose, green blower, no EMK available.</t>
  </si>
  <si>
    <t>Tecumseh 5 HP – OHH50</t>
  </si>
  <si>
    <t>Restarted intake flow and asked for rake model, despite full structured input being provided (107 – Commercial Pro 8" Jetpath, XR, 9.5 ft/lb torque, Canister). No engine identification returned.</t>
  </si>
  <si>
    <t>The agent ignored all provided constraints and reverted to a generic script. “XR + 9.5 ft/lb torque + Canister” is sufficient to identify the engine as XR 950. This is a structured-command parsing and context-utilization failure.</t>
  </si>
  <si>
    <t>XR 950 – 130G32-0184-F1 (107 – Commercial Pro 8" Jetpath, 9.5 ft/lb torque, Canister filter).</t>
  </si>
  <si>
    <t>Returned shortlist: Vanguard 6.5 HP Cyclonic and Vanguard 6.5 HP Phase II for 106 – Commander Pro. Recommended verifying filter shape. No engine model numbers provided.</t>
  </si>
  <si>
    <t>The prompt specified Filter: Canister, which eliminates the Cyclonic option. The correct engine family (Phase II) was present, but no engine model number (13L332-0119-F8) was provided for catalog verification. This is a constraint-application and completeness failure.</t>
  </si>
  <si>
    <t>Vanguard 6.5 HP Phase II – 13L332-0119-F8 (106 – Commander Pro, 6.5 HP, Canister).</t>
  </si>
  <si>
    <t>Returned shortlist: Vanguard 6.5 HP Phase II (Canister) and Vanguard 6.5 HP Phase I (Flat Square) for 101 – Standard Complete Platinum. Recommended verifying filter shape.</t>
  </si>
  <si>
    <t>The prompt explicitly specified Filter: Canister, which eliminates Phase I (Flat Square). The agent unnecessarily asked to verify information already provided instead of locking to the single valid engine. This is a repeated constraint-trust and confidence-scoring issue.</t>
  </si>
  <si>
    <t>Vanguard 6.5 HP Phase II – 13L332-0119-F8 (101 – Standard Complete Platinum, 6.5 HP, Canister).</t>
  </si>
  <si>
    <t>Engine identification correctly matched rake model, horsepower, and Flat Square filter constraint. High-confidence lock was appropriate and accurate</t>
  </si>
  <si>
    <t>Identified Intek 7 HP – 122032-0134-B1 for 107 – Commercial Pro 8" Jetpath. Included specs: Flat Square filter, 8" deck hose, green blower, air filter 01-01-753 / 01-01-756, EMK 01-02-200.</t>
  </si>
  <si>
    <t>Restarted intake flow and asked for rake model, despite full structured input being provided (102 – Commercial, XR, 9.5 ft/lb torque, Canister). No engine identified.</t>
  </si>
  <si>
    <t>XR 950 – 130G32-0184-F1 (9.5 ft/lb torque, Canister filter) for 102 – Commercial.</t>
  </si>
  <si>
    <t>Confirmed the Z-10 is suitable for heavy wet leaves and stated it comes with a 10 HP Vanguard engine and electric start, but focused mainly on electric start benefits and referenced a specific engine/impeller link instead of full model details.</t>
  </si>
  <si>
    <t>Did not clearly explain that the Z-10 is the most powerful residential unit with both a 10 HP engine and a 10-inch inlet for maximum airflow, did not clarify that it is available in both recoil start and electric start versions, failed to provide the proper Z-10 overview/visual guide link, and did not ask for the complete mower configuration to confirm compatibility.</t>
  </si>
  <si>
    <t>Stated that the issue could be the solenoid or starter and immediately suggested replacement options including a starter pack and reconditioned electric starter, along with a general support reference.</t>
  </si>
  <si>
    <t>The response jumped directly to replacement parts without first guiding the customer through proper electrical troubleshooting steps, did not provide the correct diagnostic articles for testing the electric start system, and did not clearly explain how to determine whether the solenoid or starter is actually at fault before purchasing parts.</t>
  </si>
  <si>
    <t>Explained wheel shaking may be due to speed, load distribution, or tire pressure. Provided correct PSI ranges (12–15 PSI dual wheels, 20–25 PSI single wheels). Mentioned stabilization when collector fills and softer surfaces reducing movement.</t>
  </si>
  <si>
    <t>The troubleshooting information was correct. However, the response did not clearly advise completing troubleshooting before considering tire replacement. Additionally, all cited links routed to the website homepage and provided no supporting information. This is both a guidance clarity issue and a citation routing failure.</t>
  </si>
  <si>
    <t>Wheel shaking is often related to tire pressure, speed, or load distribution. Verify correct PSI first (20–25 PSI single wheels; 12–15 PSI dual wheels). Complete troubleshooting before replacing tires. Tire replacement is only needed if tires are damaged or failing.</t>
  </si>
  <si>
    <t>f your XL’s electric start does nothing when turning the key—even with a fully charged battery—the first step is to follow proper diagnostics rather than replacing parts immediately; start with the official troubleshooting guide here: https://cyclopedia.cyclonerake.com/docs/troubleshooting-cyclone-rake-8-10hp-electric-start-issues and then test the solenoid using this step-by-step article: https://cyclopedia.cyclonerake.com/docs/how-to-test-the-solenoid — these guides will help you determine whether the issue is a faulty solenoid, starter motor, ignition switch, wiring connection, or ground problem, and only after confirming the failed component should you move forward with ordering the correct replacement starter or solenoid.</t>
  </si>
  <si>
    <t>The Z-10 is our most powerful residential model, built with a 10 HP Vanguard engine and a 10-inch blower inlet for maximum suction in heavy, wet leaf conditions; it is available in both recoil start and electric start versions, with the E-Start model including the onboard battery and charging system as standard, and full specifications and visuals can be reviewed here: https://cyclopedia.cyclonerake.com/docs/cyclone-rake-z-10-youre-speaking-our-language-visual-guide?highlight=Visual%20Z-10  — it’s also important to confirm the exact Husqvarna TS 354XD deck discharge configuration to ensure proper fit.</t>
  </si>
  <si>
    <t>Explained that engine clamp knobs secure the engine to the frame and rubber washers absorb vibration to prevent loosening. Mentioned proper installation importance and replacement washer specs (3/8" inner diameter).</t>
  </si>
  <si>
    <t>Explanation was accurate and properly sourced. Links routed to the correct Cyclopedia articles. No citation issues.</t>
  </si>
  <si>
    <t>Engine clamp knobs secure the engine to the unit; rubber washers absorb vibration and prevent loosening during operation.</t>
  </si>
  <si>
    <t>Explained unloading procedure: tilt unit, unbuckle rear flaps, drive forward to allow gravity to empty debris. Mentioned avoiding overfilling, loosening compacted debris, turning off equipment before unloading, and using dump linkage bar.</t>
  </si>
  <si>
    <t>Procedure was accurate, safety steps were included, and links routed to the correct Cyclopedia articles. No citation or content issues.</t>
  </si>
  <si>
    <t>Tilt unit, unbuckle rear flaps, and drive forward to empty. Follow safety steps and use linkage bar as instructed</t>
  </si>
  <si>
    <t>Warranty coverage varies depending on the model and specific part. Source: https://www.cyclonerake.com/cyclone-rake-warranties
 and https://cyclopedia.cyclonerake.com/docs/understanding-your-cyclone-rake-warranty-coverage</t>
  </si>
  <si>
    <t>or starting and stopping the engine. Advised checking the user manual</t>
  </si>
  <si>
    <t>The agent failed to retrieve an existing Cyclopedia article that directly outlines starting and stopping procedures. It defaulted to generic guidance instead of linking to the documented instructions. This is a knowledge retrieval failure.</t>
  </si>
  <si>
    <t>Follow the procedures outlined here: https://cyclopedia.cyclonerake.com/docs/starting-and-stopping-your-cyclone-rake-engine
 (includes engine-specific starting and stopping instructions).</t>
  </si>
  <si>
    <t>Stated the Cyclone Rake collects organic yard debris like leaves, grass, and small twigs. Advised avoiding insulation, sawdust, and heavy stump chips.</t>
  </si>
  <si>
    <t>The debris guidance was generally correct. However, all cited links routed to the homepage and did not validate the response. The agent should have linked directly to the Cyclopedia debris guide article. This is a citation routing failure.</t>
  </si>
  <si>
    <t>The Cyclone Rake is designed to collect leaves, grass clippings, pine needles, acorns, and light yard debris. Avoid insulation, sawdust, heavy stump grinding chips, large rocks, and other heavy or non-yard materials. Source: https://cyclopedia.cyclonerake.com/docs/understanding-what-debris-your-cyclone-rake-can-handle#debris-quick-guide-—</t>
  </si>
  <si>
    <t xml:space="preserve">What are the recommended storage tips for your Cyclone Rake after the season ends? Do I need to use fuel stabilzer or can I store it dry? </t>
  </si>
  <si>
    <t>Recommended storing in a dry place, adding fuel stabilizer, running engine briefly, keeping tank 95% full, and removing debris from bag.</t>
  </si>
  <si>
    <t>The storage guidance itself was directionally correct. However, all cited links routed to the homepage and did not validate the response. The agent should have linked directly to the Cyclopedia fuel storage and off-season storage articles. This is a citation routing failure.</t>
  </si>
  <si>
    <t>Store unit in a dry area. Add fuel stabilizer at every refueling and run engine briefly to circulate. Keep tank ~95% full to prevent condensation. Do not store completely dry. Remove organic debris to deter pests. Source: https://cyclopedia.cyclonerake.com/docs/fuel-storage-guidelines-for-your-cyclone-rake</t>
  </si>
  <si>
    <t>Confirmed that aftermarket parts and accessories can be returned within six months and mentioned that an RMA is required, provided a replacement collector bag part number for a Classic, and included general support references.</t>
  </si>
  <si>
    <t>While the six-month return window was stated correctly, the agent did not provide the official returns policy article link, included unrelated references such as the dual-to-single pin conversion article, and provided a specific Classic bag part number without first confirming the exact Classic model configuration (since bag type can vary by model and generation).</t>
  </si>
  <si>
    <t>Estate Vacuum units fall under the six-month return policy for aftermarket parts and accessories, provided the product is still within that window and meets return conditions outlined here:https://cyclopedia.cyclonerake.com/docs/returns-policy-for-aftermarket-parts-and-accessories</t>
  </si>
  <si>
    <t>Described Blue Diamond Liner as a durability upgrade for gravel use. Incorrectly stated it is included in the Commander bundle. Suggested upgrading for rough terrain or visible wear.</t>
  </si>
  <si>
    <t>The statement that it is included in the Commander bundle is inaccurate. Additionally, all cited links routed to the homepage and did not validate the response. The agent failed to link to the dedicated Blue Diamond Liner article and product page. This is both a product accuracy issue and citation routing failure.</t>
  </si>
  <si>
    <t>The Blue Diamond Liner is a heavy-duty upgraded liner installed inside the blower housing to increase durability and wear resistance. It is recommended for users operating in abrasive conditions (gravel, sandy soil, heavy debris) or those experiencing liner wear. Sources: https://cyclopedia.cyclonerake.com/docs/understanding-the-blue-diamond-liner-upgrade
 and https://www.cyclonerake.com/the-blue-diamond-liner-upgrade</t>
  </si>
  <si>
    <t>Returned shortlist: XR 950 and Vanguard 6.5 HP for 106 – Commander Pro. Flagged horsepower and filter conflicts and recommended verifying horsepower.</t>
  </si>
  <si>
    <t>The prompt explicitly specified Brand: XR, 9.5 ft/lb torque, Canister filter, which fully identifies XR 950. Including Vanguard 6.5 HP introduced unnecessary ambiguity and led to a redundant verification request. The system did not fully trust or apply the provided constraints.</t>
  </si>
  <si>
    <t>XR 950 – 130G32-0184-F1 (106 – Commander Pro, 9.5 ft/lb torque, Canister filter).</t>
  </si>
  <si>
    <t>Guessed the missing part might be an MDA bracket, side link assembly, or slider bracket. Listed several specific bracket options with prices and suggested checking compatibility.</t>
  </si>
  <si>
    <t>The customer description was too vague to identify a specific part. The agent made unsupported assumptions and recommended unrelated brackets. It also failed to consider that the customer could be referring to the hitch assembly itself. Proper flow is to gather identifying info first (photo, mower model, Cyclone Rake model, which MDA/adapter style, and whether the missing part is part of the hitch assembly). This is a diagnostic intake failure.</t>
  </si>
  <si>
    <t>Request more information before recommending parts: ask for a photo of the missing bracket location and any remaining hardware, confirm Cyclone Rake model, mower make/model, which MDA they have, and whether the missing component is part of the hitch assembly. Then identify the correct bracket or hitch hardware set.</t>
  </si>
  <si>
    <t>Suggested purchasing replacement caster wheel components (5" caster wheel, caster pad, full wheel assembly, hardware kit). Provided pricing options and asked which one to order.</t>
  </si>
  <si>
    <t>wheel on first use. This is a likely shipping defect or early failure and should be handled as a warranty replacement, not a sales opportunity. The agent incorrectly moved to paid replacement options instead of initiating warranty resolution. Only the identification of the caster pad component was partially relevant, but it should be replaced at no charge.</t>
  </si>
  <si>
    <t>Apologize and initiate warranty replacement. Confirm shipping address and send the appropriate caster assembly or caster pad with hardware at no charge under warranty.</t>
  </si>
  <si>
    <t>Advised replacing blower housing under warranty. Suggested contacting customer service. Mentioned purchasing a complete blower unit ($1,069) and additional parts.</t>
  </si>
  <si>
    <t>The customer reported visible shipping damage (“box looked rough”). This is a Delivered Damaged scenario, not a standard warranty purchase situation. The agent incorrectly suggested buying parts instead of initiating the delivered-damage process. It also failed to reference the ABF damage reporting procedure and did not request engine/blower configuration details needed for correct replacement. This is a warranty handling and process failure.</t>
  </si>
  <si>
    <t>Follow the Delivered Damaged process: https://cyclopedia.cyclonerake.com/docs/what-to-do-if-your-new-cyclone-rake-arrives-damaged-by-abf
. Collect photos of box and damage, confirm engine/blower unit configuration, ship replacement blower unit at no charge, and arrange return of damaged unit.</t>
  </si>
  <si>
    <t>Stated email is needed for order confirmations, updates, account management, and resending confirmations. Mentioned privacy concerns.</t>
  </si>
  <si>
    <t>The statement about “resending confirmations if the original email is incorrect or unavailable” does not make logical sense. The core reasons (order confirmations, updates, communication) were correct. The privacy reference should have linked directly to the Privacy Policy page. The other FAQ links were unnecessary and incorrect.</t>
  </si>
  <si>
    <t xml:space="preserve"> Email address is used to send order confirmations, shipping updates, and important communication regarding purchases and any upcoming sales we have. Privacy details available here: https://www.cyclonerake.com/privacyinfo</t>
  </si>
  <si>
    <t>Confirmed a return can be initiated while reordering the correct accessory to minimize downtime. Advised requesting a return label and placing the new order immediately, noting urgency.</t>
  </si>
  <si>
    <t>The process guidance was correct. However, all cited links routed to the website homepage and did not support the answer. The agent should have linked directly to the returns policy page and/or the Cyclopedia returns policy article for parts/accessories. This is a citation routing failure.</t>
  </si>
  <si>
    <t>Yes — the return and reorder can be handled at the same time. Returns policy details: https://www.cyclonerake.com/shipping-payments-returns
 and https://cyclopedia.cyclonerake.com/docs/returns-policy-for-aftermarket-parts-and-accessories</t>
  </si>
  <si>
    <t>AFB just delivered my new Cyclone Rake but one of the caster wheels looks bent and I never got my deck hose. I can’t wait weeks for a replacement — what’s the quickest solution?"</t>
  </si>
  <si>
    <t>Advised purchasing a replacement 5" caster wheel or full wheel assembly and separately purchasing a urethane deck hose. Suggested mentioning urgency to expedite shipping. Framed resolution as placing new parts orders.</t>
  </si>
  <si>
    <t>The agent treated this as a sales transaction instead of a delivery issue. It did not request photos of the damaged caster wheel and caster pad to verify condition. It failed to process the wheel under Delivered Damaged protocol. It also failed to verify shipment status of the deck hose and process a Lost replacement if confirmed shipped. The response would have incorrectly charged the customer for items that should be replaced at no cost, creating trust and experience risk.</t>
  </si>
  <si>
    <t>Acknowledge the damage and urgency immediately. Request photos of the damaged caster wheel and caster pad to confirm condition, then process a Delivered Damaged replacement at no charge. Verify whether the deck hose was shipped with the unit; if confirmed shipped but not received, process a Lost replacement immediately. Confirm replacement parts will ship within 1–2 business days to minimize downtime and resolve the issue in one interaction.</t>
  </si>
  <si>
    <t>he agent misidentified the unit as a Classic despite the provided configuration pointing to an XL platform, then recommended the wrong impeller option and linked the customer to an incorrect impeller purchase page rather than supplying the correct impeller kit details for the XL setup.</t>
  </si>
  <si>
    <t>The agent did not apply the provided model-identification details correctly and confused the platform family, which led to an incorrect parts recommendation; the impeller part number and link were wrong, and the response should have matched the XL configuration before providing the exact impeller kit and purchase link.</t>
  </si>
  <si>
    <t>Based on the identification details, the unit aligns with an XL configuration rather than a Classic, and the correct replacement impeller is the 5-Blade Green Impeller w/hardware kit (022) (02-03-023), available here: https://www.cyclonerake.com/blower-unit-replacement-parts-4</t>
  </si>
  <si>
    <t>.</t>
  </si>
  <si>
    <t>Advised immediately ordering a 5-Blade Orange Impeller Replacement Kit or a full blower replacement kit. Suggested checking the hose for clogs or damage and purchasing a replacement hose if needed. Recommended mentioning urgency to expedite shipping.</t>
  </si>
  <si>
    <t>The agent jumped straight to selling parts without first guiding through proper troubleshooting. It did not provide the official suction troubleshooting resource (https://cyclopedia.cyclonerake.com/docs/solving-suction-problems-with-your-cyclone-rake
). It failed to verify the customer’s engine model to ensure the correct impeller match. It did not confirm whether the unit has the proper MDA installed. It did not instruct the customer to check for clogs or confirm the engine is running at full throttle before recommending purchases. This creates unnecessary expense risk and does not reflect a diagnostic-first approach.</t>
  </si>
  <si>
    <t>Acknowledge urgency and provide the official suction troubleshooting guide: https://cyclopedia.cyclonerake.com/docs/solving-suction-problems-with-your-cyclone-rake
Walk through key checks:
• Confirm engine is running at full throttle
• Inspect hose for clogs, soft spots, or collapse
• Check for debris buildup in the blower housing
• Verify proper MDA installation
If parts replacement is needed after troubleshooting, review the customer’s account to confirm their specific engine and model to ensure the correct impeller is ordered. Only recommend a hose replacement if visible damage or collapse is confirmed.
This ensures accurate diagnosis, avoids unnecessary purchases, and supports one-stop resolution under peak urgency conditions.</t>
  </si>
  <si>
    <t>Recommended the Commander as the most compact folding option and stated that a special hitch kit would be required for the Toro TimeCutter, briefly mentioning the need for a mower deck adapter.</t>
  </si>
  <si>
    <t>While the Commander is a strong compact option, the response did not explain that the Classic also folds flat and may be suitable due to its smaller collector size, failed to mention the wall mount kit for vertical storage in tight garages, did not request the full Toro model number to confirm hitch compatibility, and did not ask about property size or leaf volume to better tailor the recommendation; it also omitted helpful supporting resources such as the property care techniques article and visual guide/info kit.</t>
  </si>
  <si>
    <t>For a 2022 Toro TimeCutter 42-inch zero turn with limited garage space, the Commander is an excellent compact option because it folds flat for storage, but the Classic may also be worth considering since it has a smaller collector and takes up even less overall space when folded; adding the wall mount kit can make storage even easier in tight garages. To recommend the best model confidently, the full mower model number should be confirmed along with property size and leaf volume so the right balance of power and capacity can be chosen. Your mower will require the correct Mower Deck Adapter and hitch configuration specific to the TimeCutter model. For guidance on matching unit size to property needs, this article is helpful: https://cyclopedia.cyclonerake.com/docs/property-care-techniques?highlight=property</t>
  </si>
  <si>
    <t>The agent stated that a Cyclone Rake can be used with a 46-inch rear discharge mower and advised purchasing a Mower Deck Adapter, suggesting compatibility and general adapter selection guidance.</t>
  </si>
  <si>
    <t>The response is incorrect because rear discharge mowers are not compatible with Cyclone Rake systems; the agent provided misleading guidance by recommending an adapter kit instead of clarifying incompatibility, and it failed to reference the official mower compatibility guide that clearly lists rear discharge decks as incompatible.</t>
  </si>
  <si>
    <t>A Cyclone Rake cannot be used with a rear discharge mower deck, as only right-side discharge decks are compatible with the system; rear discharge mowers are specifically listed as incompatible along with left-hand discharge, finishing mowers, stand-on units, and front-deck/articulating mowers. There is no adapter kit available to make a rear discharge deck work with a Cyclone Rake. For full compatibility details, refer to the official mower compatibility guide: https://cyclopedia.cyclonerake.com/docs/cyclone-rake-mower-compatibility-guide?highlight=right%20side%20discharge</t>
  </si>
  <si>
    <t>Suggested purchasing a 4-Blade Yellow Impeller and a Replaceable Large Screen. Mentioned free shipping within the lower 48 states. Encouraged ordering promptly for processing before rain.</t>
  </si>
  <si>
    <t>The agent immediately recommended parts unrelated to a no-start condition. Impeller and screen replacement do not address an engine that will not start. It failed to provide engine troubleshooting guidance. It did not ask about engine type or symptoms (no crank vs. crank/no start). It did not share the official troubleshooting resource:
https://cyclopedia.cyclonerake.com/docs/troubleshooting-your-cyclone-rake-engine-when-its-not-running-smoothly
or the engine-specific troubleshooting guides:
https://cyclopedia.cyclonerake.com/docs/engine-troubleshooting-guides
The response skipped diagnosis and risked unnecessary purchases. It also did not clearly answer the shipping timeframe (1–2 business days).</t>
  </si>
  <si>
    <t>Acknowledge urgency given acreage and incoming rain. Provide immediate troubleshooting resources before recommending parts:
General engine troubleshooting:
https://cyclopedia.cyclonerake.com/docs/troubleshooting-your-cyclone-rake-engine-when-its-not-running-smoothly
Engine-specific guides:
https://cyclopedia.cyclonerake.com/docs/engine-troubleshooting-guides
Confirm engine model and clarify whether the unit will not crank at all or cranks but will not start. Walk through quick checks (fuel, spark plug connection, throttle position, choke position, debris blockage).
Only recommend parts after identifying the actual failure point.
If parts are required and ordered today, confirm they ship within 1–2 business days to minimize downtime.</t>
  </si>
  <si>
    <t>My Commander collector bag ripped. Do I need to order a  replacement bag? Not sure what on to buy.</t>
  </si>
  <si>
    <t>The agent confirmed that a urethane hose upgrade is compatible with the Classic and stated that a different collar would be required, briefly mentioning durability and flexibility benefits.</t>
  </si>
  <si>
    <t>While it correctly stated that the urethane hose can be used on a Classic, it did not explain the functional differences between PVC and urethane hoses (flexibility, cold-weather performance, durability), nor did it clarify that the urethane upgrade only replaces the deck hose itself; it failed to mention that the blower inlet, blower housing, and MDA components remain unchanged and that the system color does not change with the hose upgrade.</t>
  </si>
  <si>
    <t>Yes, you can upgrade a Classic model from the standard PVC deck hose to the premium urethane hose, and the upgrade only applies to the hose itself; the blower housing, blower inlet, and Mower Deck Adapter (MDA) remain the same and do not need to be changed. The urethane hose is more flexible, especially in cooler temperatures, more crush-resistant, and generally more durable than PVC, making it a popular upgrade for heavier use. You do not need to change the entire system—just ensure you have the correct collar for your hose diameter (typically 7-inch on a Classic) so it seals properly at the blower inlet.</t>
  </si>
  <si>
    <t>Advised ordering a full replacement Commander Collector Bag (Velcro style). Provided correct part number (03-03-308) and price. Stated compatibility with Commander model. Mentioned installation assistance available.</t>
  </si>
  <si>
    <t>The agent correctly identified the replacement bag but did not first assess whether a full replacement was necessary. It failed to offer the Green Cloth Repair Kit as a cost-effective solution depending on the size of the tear (https://www.cyclonerake.com/green-cloth-repair-kit-complete-6-x-18-fabric-patch-patching-tape-alcohol-pads-2-and-tube-of-vinyl-adhesive
).
It also did not provide the direct product link for the replacement bag (https://www.cyclonerake.com/commander-collector-bag-velcro
) or the installation instructions (https://www.cyclonerake.com/assets/PDFs/Replacement-Instructions/01-06-286%20F25%20CR%20Expanding%20Collector%20Inst.sheet.pdf
).
The response defaulted to the higher-cost solution without exploring repair-first guidance.</t>
  </si>
  <si>
    <t>First ask about the size and location of the tear. If small to moderate, recommend the Green Cloth Repair Kit as a durable and cost-effective fix.
If the tear is large or along a seam, recommend the Commander Collector Bag (Velcro style):
https://www.cyclonerake.com/commander-collector-bag-velcro
Provide installation instructions to support one-stop resolution:
https://www.cyclonerake.com/assets/PDFs/Replacement-Instructions/01-06-286%20F25%20CR%20Expanding%20Collector%20Inst.sheet.pdf
This approach prevents unnecessary expense while still guiding clearly to the correct replacement when needed.</t>
  </si>
  <si>
    <t>I ordered a wall mount storage kit along with a new mower deck adapter, but I only received one tracking number. Do accessories ship in their own boxes separately?</t>
  </si>
  <si>
    <t>Stated that accessories can ship separately and may have different tracking numbers. Mentioned that orders may arrive in multiple packages. Advised customer to check shipping confirmation emails. Suggested contacting customer service if concerned.</t>
  </si>
  <si>
    <t>The response only covered the possibility of separate shipments and did not mention that items are sometimes combined into one box. It failed to provide the combined shipment explanation resource:
https://cyclopedia.cyclonerake.com/docs/understanding-combined-shipment-orders
The answer was incomplete and could create unnecessary concern by not explaining both scenarios clearly. It also defaulted to telling the customer to contact support rather than fully resolving the question in the interaction.</t>
  </si>
  <si>
    <t>Explain that orders may ship either separately or combined. Sometimes accessories are packed together in one box and only one tracking number is issued. Other times, they ship in separate cartons with separate tracking numbers.
Provide the helpful resource:
https://cyclopedia.cyclonerake.com/docs/understanding-combined-shipment-orders
Advise the customer to check the box carefully for both items, and if anything is still missing after delivery, support can quickly verify shipment details and resolve it.</t>
  </si>
  <si>
    <t>Recommended the Commander for an acre with mostly maple leaves due to greater capacity and performance. Stated the Classic is better suited for smaller yards. Confirmed compatibility with Craftsman T2400. Provided link (incorrect — directed to collector frame).</t>
  </si>
  <si>
    <t>The recommendation itself was reasonable, but the product link was incorrect and directed to a collector frame instead of the Commander product page. It also failed to provide the helpful comparison resource:
https://cyclopedia.cyclonerake.com/docs/comparing-performance-edition-models-classic-vs-commander
The correct Commander product page link should be:
https://www.cyclonerake.com/cyclone-rake-commander-leaf-and-lawn-vacuum/
Missing proper links reduces clarity and buying confidence.</t>
  </si>
  <si>
    <t>For approximately one acre with primarily maple leaves, the Commander is generally the better fit due to its increased capacity and reduced need for frequent unloading. The Classic can handle the job but may require more stops during heavy fall cleanup.
Provide the correct Commander product page:
https://www.cyclonerake.com/cyclone-rake-commander-leaf-and-lawn-vacuum/
Also include the direct comparison guide so the customer can confidently evaluate both models:
https://cyclopedia.cyclonerake.com/docs/comparing-performance-edition-models-classic-vs-commander
Confirm deck compatibility with the Craftsman T2400 46-inch deck and offer to verify the correct mower deck adapter before purchase to ensure a seamless setup.</t>
  </si>
  <si>
    <t>Said the package includes the collector unit (bag, top screen, vinyl inserts). Mentioned other items may include chassis, engine/blower, wheels, hitch, and mower deck adapter depending on model. Directed customer to the model page for a complete list.</t>
  </si>
  <si>
    <t>Key info was vague (“may include”) instead of clearly outlining what comes standard vs. what varies by model. The correct Cyclopædia resource wasn’t provided, and the link used in the agent answer was wrong. Missed an easy one-stop resolution by not linking the “what’s in the box” article and not pointing to the assembly manual/videos as the quickest next step.</t>
  </si>
  <si>
    <t>Use the definitive checklist here (correct link):
https://cyclopedia.cyclonerake.com/docs/what-comes-with-your-new-cyclone-rake
In general, a new unit includes the full collector assembly and the full vacuum/blower unit with the chassis/tongue and hardware needed to assemble it. What varies by model is the exact collector size/features and some included accessories (like specific adapter pieces). Assembly manual and videos are the fastest way to confirm every included part for that exact model and get set up smoothly.</t>
  </si>
  <si>
    <t>Stated that the impeller can be replaced independently without replacing the full blower housing kit. Mentioned full blower unit is only necessary if there is additional damage. Directed customer to replacement parts section (link led to visual guide).</t>
  </si>
  <si>
    <t>The core answer was correct — the impeller can typically be replaced without purchasing the entire blower housing. However, the link provided directed to a visual guide, which does not help the customer order the correct replacement part.
The correct parts ordering page should have been provided:
https://www.cyclonerake.com/blower-unit-replacement-parts-3
It also failed to confirm the customer’s engine type to ensure the correct impeller selection. Not all Commercial PRO units use the same impeller, so engine verification is required before ordering.</t>
  </si>
  <si>
    <t>Yes, in most cases you can replace just the impeller if the vibration is due to blade damage and the housing is not cracked or warped.
Before ordering, confirm the engine model on the Commercial PRO to ensure the correct impeller is selected.
Direct the customer to the proper replacement parts page where the correct impeller can be chosen based on engine type:
https://www.cyclonerake.com/blower-unit-replacement-parts-3
Advise inspecting the blower housing for cracks or deformation. If the housing is damaged, then a full blower housing kit may be necessary. Otherwise, replacing just the impeller is the appropriate and more cost-effective solution.</t>
  </si>
  <si>
    <t>Explained that the Cyclone Rake shreds leaves and yard debris into fine particles for composting. Stated that shredding increases decomposition speed and enriches garden beds. Mentioned that collecting organic matter helps reduce bulky thatch and supports soil health.</t>
  </si>
  <si>
    <t>The answer was generally accurate but incomplete. It did not include the broader year-round lawn care resource:
https://cyclopedia.cyclonerake.com/docs/year-round-lawn-care-with-your-cyclone-rake
It also missed the mulching information page:
https://www.cyclonerake.com/mulching-1
The response lacked depth around spring dethatching benefits and how shredded material can be reused as mulch or compost. It did not fully leverage available educational resources.</t>
  </si>
  <si>
    <t>Explain that the Cyclone Rake reduces thatch buildup by removing excess organic debris from the lawn surface, allowing air, water, and nutrients to reach the soil more effectively in spring.
Highlight that the powerful impeller shreds collected leaves and organic matter into fine particles, which can then be reused as compost or mulch to enrich garden beds.
Provide expanded resources:
Year-round lawn care guidance:
https://cyclopedia.cyclonerake.com/docs/year-round-lawn-care-with-your-cyclone-rake
Mulching and reuse information:
https://www.cyclonerake.com/mulching-1
This gives the customer both the practical benefit explanation and the deeper educational support materials.</t>
  </si>
  <si>
    <t>Identified discharge type (rear or side discharge required).
Mentioned mower power capacity to tow and operate unit.
Stated that a rear hitch is required for mounting.</t>
  </si>
  <si>
    <t>The core compatibility factors were correct. However, the response lacked depth and did not include the official compatibility resources. It missed referencing the mower compatibility guide and the model comparison chart, which provide important details such as deck size ranges, engine recommendations, tractor vs. zero-turn considerations, and model selection guidance.Missing resources:
https://cyclopedia.cyclonerake.com/docs/cyclone-rake-mower-compatibility-guide 
https://www.cyclonerake.com/cyclone-rake-comparison-chart
Providing these would give the customer a more complete and confident buying decision.</t>
  </si>
  <si>
    <t>Confirm the three primary factors:
• Discharge type (side or rear discharge required; not compatible with sealed mulching-only decks)
• Adequate engine power and towing capability
• Proper rear hitch setup
Then provide the full compatibility guide for detailed review:
https://cyclopedia.cyclonerake.com/docs/cyclone-rake-mower-compatibility-guide
Also include the comparison chart to help match mower size and property size to the appropriate model:
https://www.cyclonerake.com/cyclone-rake-comparison-chart
Offer to verify the mower’s exact make, model, and deck size to ensure correct fit and proper mower deck adapter selection.</t>
  </si>
  <si>
    <t>The agent explained that urethane hoses are more flexible and durable than PVC and suggested urethane for heavier-duty use such as clearing mulch and leaves, but only provided product links rather than the official hose comparison resource.</t>
  </si>
  <si>
    <t>While the performance difference was mentioned at a high level, the response did not reference the official PVC vs. urethane comparison article and instead linked to product purchase pages; it also did not clearly explain cold-weather flexibility, crush resistance, weight difference, and long-term wear characteristics, which are key decision factors when choosing between the two hose types.</t>
  </si>
  <si>
    <t>The main difference between PVC and urethane hoses is flexibility and durability. PVC is more rigid, slightly lighter, and more economical, but it can become stiff in colder temperatures and is more prone to cracking if crushed. Urethane is significantly more flexible—especially in cooler weather—highly abrasion-resistant, and more crush-resistant, which makes it ideal for heavier-duty applications like pulling leaves out of mulch beds where dragging and twisting are common. For clearing mulch areas regularly, urethane is generally the better long-term choice. For a full side-by-side comparison, see the official guide here: https://cyclopedia.cyclonerake.com/docs/hose-material-pvc-vs-urethane?highlight=urethane%20and%20pvc</t>
  </si>
  <si>
    <t>The agent confirmed compatibility with the Toro Titan 50-inch deck and listed specific CRS components such as the Single Wheel Fork and Hose Hammock, along with purchase links, instead of focusing on how the CRS system is configured per mower.</t>
  </si>
  <si>
    <t>While compatibility was correctly acknowledged, the response prematurely recommended individual accessory parts (wheel fork and hose hammock) rather than explaining that CRS packages are configured based on the exact mower model and discharge setup. It did not clarify that the single-pin hitch style, hose length, and MDA are customized per mower and deck configuration, nor did it request the full Toro Titan model number (there are multiple Titan sub-models with different discharge and frame variations). The answer should have centered on system configuration rather than accessory add-ons.</t>
  </si>
  <si>
    <t>Stated that aftermarket parts and accessories can be returned within six months of purchase.
Mentioned that an RMA is required.
Indicated a restocking fee may apply.
Advised contacting returns department.
Noted items must be in original condition.</t>
  </si>
  <si>
    <t>The timeframe and RMA requirement were generally correct, but the response lacked specificity and did not include the official Shipping, Payments &amp; Returns page:
https://www.cyclonerake.com/shipping-payments-returns
It also did not clearly state that items must be unused and in original packaging. The restocking fee details were vague and could cause confusion. The answer should have provided clearer policy guidance and the direct policy link for transparency.</t>
  </si>
  <si>
    <t>Yes, aftermarket parts and accessories can be returned within six months of purchase, provided they are unused and in their original packaging. A Return Merchandise Authorization (RMA) is required before sending anything back.
A restocking fee and return shipping costs apply.
Provide the official policy page for full details:
https://www.cyclonerake.com/shipping-payments-returns
This ensures clear expectations and gives the customer direct access to the complete return guidelines.</t>
  </si>
  <si>
    <t>he agent confirmed compatibility with the Cub Cadet XT2 GX54 and listed specific hitch, hose, MDA, and engine maintenance kit part numbers, including a 6.5 HP maintenance kit.</t>
  </si>
  <si>
    <t>The response provided incorrect configuration details for a Z-10. The Z-10 uses a 10 HP Vanguard engine with a 10-inch intake system, not an 8-inch hose or a 6.5 HP engine maintenance kit. It also incorrectly listed individual CRS components instead of explaining that Z-10 orders are configured during checkout based on the mower information provided. The wrong engine maintenance kit was referenced.</t>
  </si>
  <si>
    <t>For your Cub Cadet XT2 GX54 (54-inch deck), when ordering a Z-10 you do not need to manually select individual hitch forks or hose diameters—the Z-10 comes standard with the 10 HP Vanguard engine and 10-inch hose system. During checkout, you’ll enter your exact mower model and deck size, and our team will match the proper hitch configuration and custom Mower Deck Adapter (for right-side discharge decks) to ensure a correct fit. For engine service, the correct maintenance kit for the Z-10’s 8 &amp; 10 HP Vanguard engine is Part #231 – 8 &amp; 10 HP Engine Maintenance Kit: https://www.cyclonerake.com/engine-maintenance-kit-z-10</t>
  </si>
  <si>
    <t>Stated that converting to electric start requires a battery, starter motor, wiring harness, and ignition switch.
Referenced a retrofit kit that “typically includes” necessary hardware.
Advised consulting kit instructions for compatibility.</t>
  </si>
  <si>
    <t>The response incorrectly implied that an electric-start retrofit kit is available. Cyclone Rake does not sell an electric starter kit that can be added to a pull-start engine. Retrofitting is not simple and would require major internal engine modifications (flywheel gear, starter motor, wiring, key switch, battery, etc.).
It failed to clarify that the recommended solution is purchasing a complete electric-start engine (available only on select models such as XL and Z-10).
It also did not reference the appropriate FAQ resource:
https://cyclopedia.cyclonerake.com/docs/electric-start-engine-tips-faqs
This creates risk of misinformation and unrealistic expectations.</t>
  </si>
  <si>
    <t>Clarify that there is no electric-start conversion kit available for a manual-start 8HP engine. Converting would require significant internal engine modifications, including adding a geared flywheel, starter motor, wiring, key switch, and battery — and is not a simple bolt-on upgrade.
Recommend reviewing the official guidance here:
https://cyclopedia.cyclonerake.com/docs/electric-start-engine-tips-faqs
If electric start is desired, the practical solution is purchasing a complete electric-start engine, which is available on select models (such as XL and Z-10), rather than attempting a retrofit conversion.</t>
  </si>
  <si>
    <t>The agent ignored the customer’s question about replacing a split hose and instead provided unrelated Z-10 hitch and engine maintenance kit information.</t>
  </si>
  <si>
    <t>The response did not address the actual issue (a damaged hose) and failed to ask for critical identifying details such as hose inside diameter, hose length, or even the Cyclone Rake model. It also did not request photos, which would help confirm the correct hose type and size before recommending a replacement.</t>
  </si>
  <si>
    <t>To make sure you order the correct replacement hose, we’ll need the inside diameter (usually 7", 8", or 10") and the length of the hose. The size is often printed on the hose, or you can measure straight across the inside opening. If you’re unsure, please send a couple of clear photos of the hose (including the ends and where it connects), and we can confirm the exact size for you. Once confirmed, you can order the correct replacement directly here: https://www.cyclonerake.com/residential</t>
  </si>
  <si>
    <t>The agent explained that backfiring can be caused by fuel delivery issues, carburetor problems, or throttle control habits and referenced troubleshooting resources.</t>
  </si>
  <si>
    <t>While it correctly mentioned common causes of backfiring and included the proper Briggs &amp; Stratton backfire troubleshooting article, it also added unrelated information from the SuperHauler engine guide, which does not directly apply to the customer’s question. The response could have stayed focused on the specific Briggs &amp; Stratton backfire causes and whether engine replacement is actually</t>
  </si>
  <si>
    <t>Stated compatibility but provided incorrect mower reference (Cub Cadet instead of Husqvarna), recommended CRS Single Wheel Fork and Z-10 components, suggested 8-inch hose system, and included unrelated engine maintenance kit instead of focusing on Classic hitch, 7-inch hose, and proper Husqvarna MDA setup.</t>
  </si>
  <si>
    <t>Notes: Ignored the customer’s Husqvarna TS 248XD 48-inch mower and existing Classic model, provided completely unrelated Z-10/CRS parts, incorrect hose diameter (8-inch instead of 7-inch for Classic), and wrong mower reference; failed to verify discharge type and deck model to determine proper MDA and hose length.</t>
  </si>
  <si>
    <t>For a Husqvarna TS 248XD with a 48-inch right-side discharge deck using a Classic, the correct configuration is a Standard Hitch (Classic-compatible), a 7-inch diameter deck hose (length typically 8 ft or 10 ft depending on deck discharge position), and the Husqvarna-specific Mower Deck Adapter designed for the 48-inch ClearCut deck; once the exact deck model number is confirmed, the correct MDA part number and hose length can be finalized to ensure proper fit and performance.</t>
  </si>
  <si>
    <t>Confirmed compatibility but recommended incorrect CRS Single Wheel Fork, provided a random 8-inch x 5 ft hose, suggested a generic 230G MDA without verifying fit for the S130, and added an unnecessary engine maintenance kit instead of focusing strictly on the required Commander connection components.</t>
  </si>
  <si>
    <t>The John Deere S130 uses the standard Commander configuration, not CRS fork components; hose length was incorrect, MDA was not matched specifically to the S130 42-inch deck, and irrelevant maintenance information was included. The setup should have been narrowed down to the correct hitch, hose diameter/length, and Deere-specific deck adapter.</t>
  </si>
  <si>
    <t>For a 2024 John Deere S130 with a 42-inch right-side discharge deck using a Commander, you’ll need the Standard Hitch (Commander configuration), the John Deere S130-specific Mower Deck Adapter (D-style MDA made for the 42-inch Accel/Edge deck), and an 8-inch diameter x 4-foot deck hose; once ordering the Commander, simply enter your exact mower model and deck size during checkout and the correct hitch plate, hose length, and MDA kit will be matched to ensure proper fit and performance.</t>
  </si>
  <si>
    <t>Stated that the customer could request a return label by mail instead of completing the process online and suggested contacting support for assistance.</t>
  </si>
  <si>
    <t>The response focused on mailing a return label but did not clearly state the primary alternative outlined in the official process article, which is that customer service can personally create the return case and walk the customer through the process. It also did not reference the correct return process article.</t>
  </si>
  <si>
    <t>If a customer prefers not to initiate a return online, our customer service team can create the return case for them and personally guide them through the entire process; this option is clearly outlined in the official return guide: https://cyclopedia.cyclonerake.com/docs/how-to-return-your-cyclone-rake</t>
  </si>
  <si>
    <t>Stated that aftermarket parts and accessories can be returned for a full refund within six months of purchase and mentioned general condition requirements.</t>
  </si>
  <si>
    <t>The six-month return window was correctly identified, but the response did not include the official Returns Policy article for Aftermarket Parts &amp; Accessories, which provides the full details of eligibility, condition requirements, and return instructions.</t>
  </si>
  <si>
    <t>Aftermarket parts and accessories are eligible for return within six months of purchase for a full refund, provided they meet the return condition guidelines outlined in the official policy. Full details can be found here: https://cyclopedia.cyclonerake.com/docs/returns-policy-for-aftermarket-parts-and-accessories?highlight=return</t>
  </si>
  <si>
    <t>The agent offered a parts list for fixing a bent collector frame and cracked support on a Commander, recommended buying the complete collector unit (bag + frame) as an all-in-one option, also listed a standalone replacement bag, and included a band clamp part number with purchase links.</t>
  </si>
  <si>
    <t>The response did a good job covering the bag/frame and clamps, but it missed the cracked cross-support/tube component the customer actually called out and should have included the correct side tube/cross-support part option(s) rather than only pointing to the full collector assembly; the answer also didn’t clearly present a “build-your-own” list (frame/supports + bag + clamps) versus the “complete assembly” option.</t>
  </si>
  <si>
    <t>For a Commander with a bent collector frame and a cracked cross-support, you can either replace the whole assembly using the Collector Unit Complete (Bag &amp; Frame) – Commander (03-03-2237A), or build it piece-by-piece by ordering the appropriate Commander replacement bag plus fresh band clamps, and the correct replacement tube/support component is the 1–Three piece Side Tube – Classic &amp; Commander (Key 154a, Part #01-03-2195) available here: https://www.cyclonerake.com/collector-unit-4#</t>
  </si>
  <si>
    <t>The agent correctly stated that freight deliveries of a full Cyclone Rake system include liftgate service to help unload the unit at the customer’s location.</t>
  </si>
  <si>
    <t>While the liftgate service was correctly identified, the response did not reference or provide the official shipping guide article that explains freight delivery details, expectations, and included services.</t>
  </si>
  <si>
    <t>The agent attempted to reference hitch components but did not clearly identify or link the complete Classic hitch assembly, causing confusion when locating the correct part.</t>
  </si>
  <si>
    <t>The response failed because the mount tube and collector bag details were not clearly aligned to the Classic model, and the links provided were not the correct Classic-specific components; it should have specified the proper Classic jack stand mount tube and the correct Classic collector bag part number with accurate links. In addition, the response did not include the actual Classic  Hitch assembly part number or a direct link, instead referencing partial components, which made it difficult to locate the complete hitch setup required to restore the unit.</t>
  </si>
  <si>
    <t>For a Classic model missing the entire hitch assembly, you’ll need the Hitch Assembly designed for Classic units (complete hitch kit), along with the Mount Tube – Jack Stand (087) (01-02-028) if the jack support is also missing; the complete Classic Standard Hitch can be found here: https://www.cyclonerake.com/standard-hitch and the jack stand components here: https://www.cyclonerake.com/3rd-wheel-jack-stand-parts — this will restore the full front connection and support system so the unit is fully operational again.</t>
  </si>
  <si>
    <t>Classic: 200-gallon capacity; up to 150 lbs dry leaves / 350 lbs wet grass.
Commander: 285-gallon capacity; up to 210 lbs dry leaves / 490 lbs wet grass.
Commercial PRO: 415-gallon capacity; up to 300 lbs dry leaves / 700 lbs wet grass.
Referenced Collector Bag Capacity and Weight Guide.</t>
  </si>
  <si>
    <t>The capacities and weight estimates were accurate and clearly differentiated between the three models. The information aligns with official specifications and properly answers both size and holding capacity. No misinformation detected.</t>
  </si>
  <si>
    <t>No correction needed. The stated gallon capacities and approximate weight limits for dry leaves and wet grass are accurate for Classic, Commander, and Commercial PRO collector bags.</t>
  </si>
  <si>
    <t>I need to order a new impeller for my Commander with an XR-950 engine. And I also want to know what options I have for replacement hoses?</t>
  </si>
  <si>
    <t>The agent provided specific impeller, blowerkit, and hose part numbers without confirming the engine type on the Commercial PRO or verifying the correct hose length, and it defaulted to individual parts instead of offering complete blower replacement options.</t>
  </si>
  <si>
    <t>Commercial PRO impeller selection depends on the engine (XR950, Vanguard, etc.), so engine confirmation is required before recommending a specific impeller kit; hose length can vary by mower setup and should be confirmed by measuring the existing hose or providing mower details; the blower housing gasket was bundled into an unrelated kit; and the agent failed to present the complete blower replacement unit option, which is often the most practical solution after impact damage.</t>
  </si>
  <si>
    <t>Recommended a 4-Blade Yellow Impeller Replacement Kit or a complete blower unit.
Listed hose accessories (hose hammock and hanger assembly).
Provided pricing and links for those items.</t>
  </si>
  <si>
    <t>The impeller guidance was incomplete. For a Commander with an XR-950 engine, there are two correct impeller options:
• 5-Blade Orange Impeller Replacement Kit – XR950 and 6.5 HP Vanguard Cyclonic
SKU: 02-03-021
https://www.cyclonerake.com/5-blade-orange-impeller-replacement-kit-xr950-and-6-5-hp-vanguard-cyclonic
• 4-Blade Yellow Impeller Replacement Kit – XR950 and 6.5 HP Vanguard Cyclonic
SKU: 02-03-018
https://www.cyclonerake.com/4-blade-yellow-impeller-replacement-kit-xr950-and-6-5hp-vanguard-cyclonic
The response failed to present both options clearly.
Additionally, the hose information was incorrect. The customer asked about replacement hoses, but the agent listed hose storage accessories instead of actual deck hose options.
We sell 8-inch deck hoses in PVC or Urethane. Hose length is determined by the mower setup. Proper guidance would direct them to select the correct hose length based on mower deck size and configuration:
https://www.cyclonerake.com/residential
The response did not correctly address the actual hose replacement request.</t>
  </si>
  <si>
    <t>For a Commander with an XR-950 engine, there are two impeller replacement options:
5-Blade Orange Impeller Replacement Kit – XR950 and 6.5 HP Vanguard Cyclonic
SKU: 02-03-021
https://www.cyclonerake.com/5-blade-orange-impeller-replacement-kit-xr950-and-6-5-hp-vanguard-cyclonic
4-Blade Yellow Impeller Replacement Kit – XR950 and 6.5 HP Vanguard Cyclonic
SKU: 02-03-018
https://www.cyclonerake.com/4-blade-yellow-impeller-replacement-kit-xr950-and-6-5hp-vanguard-cyclonic
For replacement hoses, we offer 8-inch deck hoses in either PVC or Urethane. The correct hose length depends on the mower’s deck size and configuration. Direct the customer to confirm mower details and select the appropriate length:
https://www.cyclonerake.com/residential
This ensures both the correct impeller and the proper replacement hose are ordered the first time.</t>
  </si>
  <si>
    <t>The agent provided a correct XL bag option and mentioned caster components but added unrelated CRS/Dual-PRO parts and unnecessary hardware that do not apply to a standard XL wheel setup.</t>
  </si>
  <si>
    <t>The response mixed CRS wheel components with XL parts, which are different systems; it also failed to reference the correct XL wheel replacement page and did not clearly identify the proper axle tube and hardware needed to correct wheel wobble on an XL chassis.</t>
  </si>
  <si>
    <t>For an older XL, you’ll want the Commercial PRO, XL &amp; Z-10 Collector Bag – Velcro (Part #05-03-308), and for the wheel refresh use the dedicated XL wheel replacement components found here: https://www.cyclonerake.com/wheels-4?pagenumber=1</t>
  </si>
  <si>
    <t xml:space="preserve"> — this page includes the correct caster wheel assemblies, axle tubes, and related axle hardware for the XL platform; if one side is wobbling, replacing the axle tube and associated hardware along with both caster assemblies is the right move so everything tracks straight and tight, and ordering all of those together will ensure you get the bag, wheels, and proper axle components in one shipment.</t>
  </si>
  <si>
    <t>es, you can upgrade a Classic model from the standard PVC deck hose to the premium urethane hose, and the upgrade only applies to the hose itself; the blower housing, blower inlet, and Mower Deck Adapter (MDA) remain the same and do not need to be changed. The urethane hose is more flexible, especially in cooler temperatures, more crush-resistant, and generally more durable than PVC, making it a popular upgrade for heavier use. You do not need to change the entire system—just ensure you have the correct collar for your hose diameter (typically 7-inch on a Classic) so it seals properly at the blower inlet.</t>
  </si>
  <si>
    <t>Stated that internal support rods are sold separately if missing.
Implied the Classic collector bag may come with internal support rods.
Directed customer to parts section or customer support for specific part numbers.</t>
  </si>
  <si>
    <t>The terminology was incorrect. The correct part name is Side Tubes, not internal support rods.
The response also incorrectly implied that the replacement collector bag may include these components. The collector bag does not come with the Side Tubes. They are separate components.
The agent failed to provide the correct part names and SKUs:
• Three-Piece Side Tube – Classic &amp; Commander (154a)
SKU: 01-03-2195
• Three-Piece Side Tubes – Classic &amp; Commander (154c)
SKU: 01-03-2196
Not clarifying this could create confusion and result in ordering the wrong parts.</t>
  </si>
  <si>
    <t>Clarify that the correct part name is Side Tubes, not internal support rods.
Replacement collector bags for the Classic do not include the Side Tubes. If one is missing, they are sold separately.
Available options:
• Three-Piece Side Tube – Classic &amp; Commander (154a)
SKU: 01-03-2195
• Three-Piece Side Tubes – Classic &amp; Commander (154c)
SKU: 01-03-2196
Confirm which version the customer needs before ordering to ensure compatibility.</t>
  </si>
  <si>
    <t>The agent ignored the customer’s Z-10 electric start concern and instead provided completely unrelated impeller, blower housing, and hose replacement parts for a different model.</t>
  </si>
  <si>
    <t>The response did not address the electric start issue at all, failed to reference the Z-10 10 HP electric start system, and skipped the required troubleshooting guidance before recommending parts. No diagnostic steps were provided, and none of the suggested parts were relevant to the customer’s</t>
  </si>
  <si>
    <t>For a Z-10 electric start issue, the first step is to follow the official electric start troubleshooting guide to narrow down whether the problem is the battery, solenoid, starter, wiring, or key switch: https://cyclopedia.cyclonerake.com/docs/troubleshooting-cyclone-rake-8-10hp-electric-start-issues?highlight=electric%20start%20not%20working — this guide walks through battery voltage checks, solenoid testing, and starter diagnosis step-by-step; once you confirm the faulty component, you can order the specific replacement (battery, solenoid, or starter). For a full tune-up at the same time, use the 8 &amp; 10 HP Engine Maintenance Kit (Part #231), which includes the correct air filter, spark plug, and service items for the 10 HP Vanguard engine used on the Z-10: https://www.cyclonerake.com/engine-maintenance-kit-z-10 — start with the troubleshooting guide, confirm the failed part, then order only what’s actually needed along with the maintenance kit to get everything handled in one go.</t>
  </si>
  <si>
    <t>The agent ignored the customer’s Commander setup question and instead provided unrelated XL bag, caster wheel, and axle parts that had nothing to do with a mower deck adapter or hose.</t>
  </si>
  <si>
    <t>The response did not address the John Deere 48-inch deck, did not mention the required Mower Deck Adapter (MDA), hitch configuration, or correct hose size for a Commander, and failed to request the full mower model number to confirm compatibility. It also did not explain that when switching mowers, the three components that can change are the MDA, hitch, and hose.</t>
  </si>
  <si>
    <t>Since you’ve got a Commander and a 48-inch John Deere deck, you’ll need three main components to get fully operational: the correct Mower Deck Adapter (MDA) for your specific John Deere model, the proper hitch configuration (Standard Hitch in most tractor applications unless already equipped), and the correct diameter and length deck hose for the Commander (typically an 8-inch hose, with length determined by tractor setup). Because John Deere has multiple 48-inch deck variations, the exact MDA depends on the full mower model number (for example, S140, X350, etc.), so that should be confirmed first to ensure proper fit and discharge type compatibility. When changing or setting up with a different mower, the MDA, hitch, and hose are the three components that may vary, so once the exact Deere model is confirmed, the correct adapter, hose length, and hitch (if needed) can be selected together to complete the setup properly.</t>
  </si>
  <si>
    <t>The agent gave completely unrelated XL collector and wheel parts instead of addressing the damaged blower housing, bent impeller, and mounting knobs.</t>
  </si>
  <si>
    <t>he response ignored the blower damage question and did not explain that the housing and impeller can be replaced separately or as a complete blower assembly. It also failed to mention the correct clamp handle (mounting knob) replacement and did not request the model to ensure proper fitment.</t>
  </si>
  <si>
    <t>If the blower housing is cracked and the impeller is bent, you don’t necessarily need to replace the entire blower assembly unless the engine or liner is also damaged. The blower housing can be ordered separately (with or without an impeller), or you can purchase a complete blower replacement unit if you prefer everything pre-assembled. Since your impeller is bent, it should be replaced rather than straightened to ensure safety and balance. To provide the exact blower housing and impeller part numbers, your Cyclone Rake model and engine type are needed, as options vary between 7", 8", and 10" systems. For the mounting knobs, use the Engine Clamp Handle with Rubber Washers (Set of 2) (172a) (01-02-681), available here: https://www.cyclonerake.com/blower-unit-replacement-parts-4. Once the model is confirmed, the correct housing and impeller options can be selected to complete your repair.</t>
  </si>
  <si>
    <t>The agent provided incorrect XL/Commercial PRO bag and CRS wheel parts instead of Classic-specific components and did not clarify which internal rods or wheel parts were needed.</t>
  </si>
  <si>
    <t>The response listed the wrong collector bag and unrelated caster assemblies. It also failed to guide the customer to the parts diagrams to identify the exact internal support rods and wheel hardware needed for a Classic.</t>
  </si>
  <si>
    <t>For an older Classic, the correct replacement collector bag is the Classic Collector Bag – Velcro (153b) (01-03-308), available here: https://www.cyclonerake.com/collector-bag. Since you mentioned missing internal support rods and one caster wheel, the exact parts can vary (top brace rods, side support tubes, axle tube, wheel, spacers, or hardware). The best way to ensure you order exactly what’s missing is to review the Classic collector and wheel diagrams here: https://www.cyclonerake.com/wheels and compare them to your unit. If you’re unsure which rod or wheel component is missing, sharing a quick photo will let us pinpoint the exact part numbers so you can get everything in one order and have it fully operational again.</t>
  </si>
  <si>
    <t>The agent ignored the mower deck adapter rubbing concern and instead provided unrelated hose and Estate Vacuum parts information.</t>
  </si>
  <si>
    <t>The response did not address the installation issue at all. When an MDA rubs against a tire, the correct approach is to review mounting position, bracket orientation, and adjustment slots—not suggest unrelated accessories. No troubleshooting guidance or installation reference was provided.</t>
  </si>
  <si>
    <t>If your mower deck adapter is rubbing the tire, it usually means the plate may need adjustment rather than being completely wrong. First, double-check that the adapter plate is centered on the discharge opening and mounted using the correct holes and orientation shown in the installation instructions. Many MDAs have slotted mounting holes that allow you to shift the plate slightly forward, backward, or rotate it a bit to gain clearance. Also confirm the hose is not pulling the adapter inward toward the tire. If everything appears aligned but it’s still close, take a couple of clear photos of the adapter mounted on the deck (including the tire clearance area) and we can review it with our tech team to make sure it’s positioned exactly as it should be.</t>
  </si>
  <si>
    <t>The agent ignored the hose length routing concern and instead provided unrelated electric start tune-up parts such as battery, key switch, air filter, and spark plug.</t>
  </si>
  <si>
    <t>The question was about the deck hose feeling too short during turns. The response did not address hose routing, installation positioning, or troubleshooting steps. No relevant guidance or article was provided.</t>
  </si>
  <si>
    <t>If the hose feels too short when turning, it’s usually a routing or positioning issue rather than the wrong hose length. Make sure the hose has a smooth, natural curve without twists, and that the blower unit is centered behind the mower. The hitch should allow the unit to pivot freely, and the hose should not be stretched tight at full left or right turns. Also confirm the mower deck adapter is positioned correctly and not pulling the hose inward. This guide walks through proper hose positioning and adjustments: https://cyclopedia.cyclonerake.com/docs/dealing-with-a-short-deck-hose?highlight=short%20hose. If it still feels tight after checking those steps, take a couple of photos at full turn so the setup can be reviewed to ensure everything is aligned correctly.</t>
  </si>
  <si>
    <t>The agent ignored the CRS single-pin hitch assembly question and instead provided unrelated electric start engine parts and maintenance components.</t>
  </si>
  <si>
    <t>The customer was asking about possible incorrect installation of the CRS single-pin hitch. The response did not address hitch orientation, installation steps, or provide the correct hitch guidance article. Completely unrelated engine tune-up information was given.</t>
  </si>
  <si>
    <t>If the CRS single-pin hitch doesn’t look like the diagrams, it’s often because a component was installed backwards — most commonly the tow bar orientation, fork alignment, or pivot hardware direction. Double-check that the single-pin fork faces forward toward the mower and that the pivot brackets are mounted correctly with spacers and washers placed exactly as shown in the manual. The hitch should pivot freely side-to-side without binding. This guide walks through proper CRS hitch setup and common installation mistakes: https://cyclopedia.cyclonerake.com/docs/everything-you-need-to-know-about-your-cyclone-rake-hitch?highlight=Hitch%20CRS. If it still looks different after reviewing, send a couple of clear photos of the hitch connection so we can confirm everything is oriented correctly.</t>
  </si>
  <si>
    <t>The agent ignored the blower mounting question and instead provided unrelated electric start engine parts information.</t>
  </si>
  <si>
    <t>The customer was asking about alignment and tightening of the blower mounting knobs during assembly. The response did not address installation alignment, mounting slots, clamp handles, or provide the correct installation guide. Completely unrelated Z-10 engine maintenance information was given.</t>
  </si>
  <si>
    <t>If the mounting knobs won’t tighten fully, it usually means the blower housing isn’t seated completely into the chassis cradle or the mounting slots aren’t perfectly aligned. Try slightly lifting or shifting the blower unit while gently tightening the knobs so the studs line up cleanly in the keyhole slots. Make sure the blower lip is fully seated against the chassis frame before tightening both knobs evenly. This step-by-step guide walks through proper blower installation and alignment tips: https://cyclopedia.cyclonerake.com/docs/how-to-properly-install-your-engine-blower-unit?highlight=knobs. If it still won’t seat correctly, a quick photo of how it’s sitting on the chassis will help identify what’s holding it up.</t>
  </si>
  <si>
    <t>The agent ignored the frame/support rod alignment issue and instead provided unrelated mower deck adapter and hose purchasing information.</t>
  </si>
  <si>
    <t>The customer was asking about collector frame assembly and support rod alignment with the bag openings. The response did not address frame assembly steps, rod orientation, or installation sequencing. Completely unrelated MDA and hose parts were provided.</t>
  </si>
  <si>
    <t>If the support rods aren’t lining up with the collector bag sleeves, it usually means the frame isn’t fully squared or the rods are being inserted before the bag is properly positioned over the frame. Make sure the collector bag is completely draped over the top frame first, then loosely assemble the side tubes and cross supports without tightening anything so the frame can flex slightly into alignment. Once all rods are seated in their correct sleeves and brackets, tighten everything evenly. This step-by-step guide shows the correct order for installing the collector frame, side tubes, and support rods: https://cyclopedia.cyclonerake.com/docs/cyclone-rake-collector-replacement-instructions-all-parts?highlight=replacement%20side%20tubes. If it’s still difficult, a quick photo of how the rods are positioned will help pinpoint what’s out of alignment.</t>
  </si>
  <si>
    <t>Shared a parts list for refurbishing a different unit (bag, support rods, caster wheel, axle kit) instead of answering whether the rider can handle a Cyclone and how to confirm compatibility.</t>
  </si>
  <si>
    <t>The question was about mower capability/compatibility; the reply jumped to unrelated replacement parts and didn’t address minimum power requirements or the compatibility checks for a Cub Cadet LT1042.</t>
  </si>
  <si>
    <t>A Cub Cadet LT1042 with a forty-two inch deck is generally a solid match for Cyclone systems, and the quick way to confirm “enough power” is to verify your engine horsepower meets the minimum guideline (ten horsepower or higher) and that the deck is a right-side discharge setup with room to mount an adapter; this compatibility guide walks you through the exact checks and the horsepower minimum in one place: https://cyclopedia.cyclonerake.com/docs/cyclone-rake-mower-compatibility-guide?highlight=mower%20horsepower</t>
  </si>
  <si>
    <t>Provided a parts list for rebuilding a Classic (bag, support rods, caster wheel, axle kit) instead of addressing the Estate Vacuum quick-connect fit question.</t>
  </si>
  <si>
    <t>The response was completely unrelated to the customer’s concern about the quick-connect fitting being tight and did not explain normal fitment or reference the correct installation instructions.</t>
  </si>
  <si>
    <t>A snug fit on the Estate Vacuum quick-connect is normal, especially when the hose and fitting are new, as they’re designed to seal tightly and prevent air leaks; it should slide on firmly with steady pressure and fully seat against the stop without excessive force, and you can confirm proper installation and sizing in the official Estate Vacuum instructions here: https://www.cyclonerake.com/assets/PDFs/Replacement-Instructions/01-06-086%20(4pg)%20F25-Full%20PVP%20EstVac%20Inst.pdf</t>
  </si>
  <si>
    <t>Provided an unrelated Classic parts list (bag, rods, caster wheel, axle kit) instead of addressing the urethane hose upgrade question.</t>
  </si>
  <si>
    <t>The response ignored the customer’s 8-inch hose upgrade question and did not explain compatibility between PVC and urethane hoses or whether a new collar or clamp is required.</t>
  </si>
  <si>
    <t>If you’re upgrading from an 8-inch PVC hose to the premium 8-inch urethane hose, you do not need to change your existing collar, band clamp, blower inlet, or mower deck adapter—as long as you’re staying with the same 8-inch diameter system, the connection points remain the same; the urethane upgrade simply replaces the hose material for improved durability and flexibility, and you can review the material differences here: https://cyclopedia.cyclonerake.com/docs/hose-material-pvc-vs-urethane</t>
  </si>
  <si>
    <t>Gave unrelated hose routing troubleshooting instead of comparing Commander and Commercial PRO models.</t>
  </si>
  <si>
    <t>The customer was deciding between two models for a 2-acre property with heavy hardwood leaves, but the response ignored the buying guidance and provided irrelevant deck hose information.</t>
  </si>
  <si>
    <t>With about 2 acres and heavy oak and hickory leaves, both the Commander and Commercial PRO can handle the workload, but they’re tuned for slightly different needs. The Commander is a strong residential unit with an 8-inch hose system and excellent suction, making it a great fit for most homeowners who want reliable power without stepping into commercial-grade equipment. The Commercial PRO, on the other hand, offers a larger collector capacity and upgraded components designed for heavier, longer jobs—especially useful if you’re regularly dealing with thick, wet leaf buildup. For properties your size, the Commander often strikes the right balance of performance and value, while the Commercial PRO gives you extra margin if you prefer a more heavy-duty build for long-term peace of mind. You can compare them side-by-side here: Commander Visual Guide – https://cyclopedia.cyclonerake.com/docs/cyclone-rake-commander-youre-speaking-our-language-visual-guide and Commercial PRO Visual Guide – https://cyclopedia.cyclonerake.com/docs/cyclone-rake-commercial-pro-youre-speaking-our-language-visual-guide.</t>
  </si>
  <si>
    <t>Provided electric start troubleshooting steps, included both the electric start diagnostic article and solenoid testing guide, and explained that proper testing will identify whether the solenoid, starter, or ignition switch needs replacement before ordering parts.</t>
  </si>
  <si>
    <t>(minor improvement opportunity</t>
  </si>
  <si>
    <t>Intermittent clicking with a new battery usually points to a loose or poor connection, a failing solenoid, or a weak starter motor. The best next step is to follow the full troubleshooting guide here: https://cyclopedia.cyclonerake.com/docs/troubleshooting-cyclone-rake-8-10hp-electric-start-issues, which walks through battery voltage checks, solenoid testing, and starter diagnosis. Once you’ve narrowed it down, you can test the solenoid directly using this guide: https://cyclopedia.cyclonerake.com/docs/how-to-test-the-solenoid. After completing those steps, the faulty component can be confirmed and the correct replacement part number provided if needed.</t>
  </si>
  <si>
    <t>Advised inspecting the impeller for wear or damage, checking for debris buildup inside the blower housing, confirming the impeller bolt is tight, and referenced general maintenance guidance along with the correct impeller replacement part number for the Z-10.</t>
  </si>
  <si>
    <t>If suction has dropped on a Z-10, start by following the full suction troubleshooting guide to rule out airflow restrictions: https://cyclopedia.cyclonerake.com/docs/solving-suction-problems-with-your-cyclone-rake?highlight=suction — this covers checking for clogs in the blower housing, packed debris in the exit chute, hose obstructions, and airflow leaks. Next, inspect the 5-Blade Green Impeller w/ hardware kit (02-03-023) for bent blades, cracks, or excessive wear, and confirm the impeller bolt is tight. If the impeller is damaged, replacement is recommended for safety and performance; if no damage is found, a blockage or air leak is the more likely cause.</t>
  </si>
  <si>
    <t>Did not include the full suction troubleshooting article that walks through all common airflow restriction causes before moving to part replacement.</t>
  </si>
  <si>
    <t>Recommended unrelated models (SuperHauler Flexi-Deck and Z-10), referenced general compatibility, and did not focus on compact storage needs or the customer’s specific mower.</t>
  </si>
  <si>
    <t>The response ignored the customer’s need for strong performance and compact storage, suggested incorrect product lines, and failed to recommend the Commander with its SpaceSaver design and optional wall mount solution, which directly addresses limited shed space.</t>
  </si>
  <si>
    <t>Stated the item can simply be added by contacting support, without explaining order status limitations or referencing the proper order-management process.</t>
  </si>
  <si>
    <t>The response implied changes are automatically possible, but did not clarify that modifications depend on whether the order has already been processed or shipped. It also failed to reference the official order management guidance.</t>
  </si>
  <si>
    <t>https://cyclopedia.cyclonerake.com/docs/managing-your-order?highlight=make%20changes%20to%20order</t>
  </si>
  <si>
    <t>Advised checking bag color and shape, hose diameter, and engine details, and suggested sending photos for identification.</t>
  </si>
  <si>
    <t>The response covered the correct identification clues but did not reference the official identification guide article that specifically walks through how to identify older or secondhand units.</t>
  </si>
  <si>
    <t>To identify an older or secondhand Cyclone Rake, check the collector bag color (green or black), bag shape (straight or tapered), blower housing color, intake diameter (7", 8", or 10"), and the engine make and horsepower listed on the engine label. These physical characteristics are the most reliable way to narrow down the exact model, especially on used units where paperwork may be missing. Clear photos of the engine, blower inlet, and full collector can also help confirm the model. For a complete step-by-step guide, refer to:</t>
  </si>
  <si>
    <t>https://cyclopedia.cyclonerake.com/docs/identifying-your-cyclone-rake-model-used-older-units?highlight=second%20hand</t>
  </si>
  <si>
    <t>Explained that proper hitch height and receiver type are required, confirmed the tow vehicle must safely handle the weight, and shared the relevant ATV/golf cart compatibility articles.</t>
  </si>
  <si>
    <t>Before using a Cyclone Rake with an ATV, golf cart, or other utility vehicle, it’s important to confirm the vehicle can safely tow the unit’s weight and has a properly rated receiver hitch (typically Class 2 or Class 3) positioned at the correct height—around 12 inches from the ground is ideal for alignment. Some setups may require a custom hitch solution to maintain proper tongue height and stability. You’ll also want to verify braking ability, terrain conditions, and overall towing capacity before operating.</t>
  </si>
  <si>
    <t>Immediately recommended the Commander and a specific mower deck adapter without confirming the full mower model configuration (discharge type, year variations) or asking about property size, terrain, and leaf volume; did not provide supporting selection resources.</t>
  </si>
  <si>
    <t>The agent skipped proper qualification steps and gave a premature recommendation. It should have confirmed full mower details and gathered property information before suggesting a model or MDA. It also failed to provide helpful selection resources such as the Digital Info Kit and Property Size Guide to support the customer’s decision-making process.</t>
  </si>
  <si>
    <t>Confirmed that switching from a dual-pin Commander to a CRS requires a different hitch setup and stated the collector can be reused, but referenced unrelated or loosely related articles instead of the specific dual-to-single transition resource.</t>
  </si>
  <si>
    <t>While the core guidance about hitch differences and collector compatibility was correct, the supporting documentation was not directly relevant to switching between dual-pin and single-pin systems. The response should have referenced the dedicated article that clearly explains the transition process and considerations.</t>
  </si>
  <si>
    <t>Switching from a dual-pin Commander to a CRS single-pin model does require changing to the CRS single-pin hitch system, but your existing collector assembly can be reused. For a clear breakdown of what changes (and what doesn’t) when moving between dual-pin and single-pin setups, the correct reference is: https://cyclopedia.cyclonerake.com/docs/switching-from-dual-to-single-or-single-to-dual-with-the-peace-of-mind-trial?highlight=dual%20to%20single</t>
  </si>
  <si>
    <t>Confirmed that the Z-10 band clamp is sold individually and provided pricing and a purchase link, but did not clearly highlight the specific part number and included additional clamp options that were not requested.</t>
  </si>
  <si>
    <t>The correct clamp was identified and purchase details were provided, but the response should have clearly stated the exact part number for the Z-10 band clamp and avoided listing unrelated clamp options since the customer only asked for that specific replacement.</t>
  </si>
  <si>
    <t>Yes, the Z-10 band clamp is sold individually. The correct replacement is the Band Clamp, 10" Left Bridge Type – Part #01-01-1149, and it can be ordered directly from the Z-10 replacement parts section here: https://www.cyclonerake.com/blower-unit-replacement-parts-4</t>
  </si>
  <si>
    <t>Confirmed that slight front lift can happen due to weight distribution. Recommended checking hitch height and adding front weights if needed. Provided the correct supporting article.</t>
  </si>
  <si>
    <t>It’s not uncommon for the front of the mower to lift slightly when the Cyclone Rake is attached, especially if the hitch height or weight distribution isn’t dialed in yet. First, double-check that your hitch is adjusted to the proper height for your setup, since incorrect hitch geometry can shift weight improperly. If the hitch height looks good and you’re still seeing lift, adding front weights is typically the best long-term solution to restore balance and steering control.</t>
  </si>
  <si>
    <t>Confirmed that a larger 285-gallon collector bag can be used as an upgrade on an older Classic. Provided correct part number and referenced upgrade kit, but also included unrelated links and incorrect collector references.</t>
  </si>
  <si>
    <t>While the upgrade option (285-gallon bag, part #03-03-303) was correctly identified, the response included unrelated product links and incorrect collector references (including non-Classic information). This created confusion and reduced clarity.</t>
  </si>
  <si>
    <t>Yes — you can upgrade your older Classic to the larger 285‑gallon collector bag. The correct option is the 34" Rectangle Collector Bag Upgrade Kit (Part #03‑03‑303), which is compatible with the Classic frame when using the proper upgrade configuration. This gives you more capacity and fewer dumping stops during big jobs.
Here’s the direct link to the upgrade kit:
👉 https://www.cyclonerake.com/34-rectangle-collector-bag-upgrade-kit-to-tapered-commander-bag-
Collector bags are model‑specific in size and frame design, so be sure to select the Classic upgrade kit rather than a bag from a different model.</t>
  </si>
  <si>
    <t>The agent stated the unit would ship quickly and mentioned that shipping times may vary by location, but did not provide the standard processing timeframe or specific delivery zone expectations for Pennsylvania, and did not include the official shipping reference link.</t>
  </si>
  <si>
    <t>The response was too general and did not clearly state that orders typically ship within 1–2 business days. It also failed to explain that Pennsylvania is in Zone 1 (Northeast) with a typical 1–2 day transit time after shipment, and it did not include the official Shipping &amp; Payments page for reference.</t>
  </si>
  <si>
    <t>The agent correctly identified the actuator as a likely cause since the unit makes noise but does not lift, and properly referenced warranty coverage for aftermarket parts and accessories. However, it included an unrelated article about mower front lift instead of the specific Power Lift Unloader troubleshooting resource.</t>
  </si>
  <si>
    <t>Although the actuator diagnosis and warranty explanation were appropriate, the response linked to an incorrect support article that did not address the Power Unloader system. The correct troubleshooting reference for this issue was not provided.</t>
  </si>
  <si>
    <t>If your Power Unloader is making noise but not lifting, the actuator is one of the most common components to check. It may be receiving power but failing internally under load. Before replacing it, review the dedicated troubleshooting steps here: https://cyclopedia.cyclonerake.com/docs/power-lift-unloader-frequently-asked-questions?highlight=power%20lift%20unloader.</t>
  </si>
  <si>
    <t>Power Unloader components are considered aftermarket accessories and are covered under the applicable warranty period for defects in materials or workmanship. If troubleshooting confirms a faulty actuator, warranty eligibility can be determined and the correct replacement part provided.</t>
  </si>
  <si>
    <t>For a 2019 Simplicity Broadmoor with a 44-inch deck, the right Cyclone Rake model and mower deck adapter kit depend on your mower’s discharge style and your property/leaf load, so the next step is to confirm the Broadmoor’s exact model details (including right-side discharge) and get a quick read on acreage + leaf volume so we can recommend the best-fitting Cyclone Rake and match you with the correct custom-cut Mower Deck Adapter (and any hitch/hose updates if needed); this guide walks you through the exact info needed to get the correct adapter/hitch/hose when switching mowers: https://cyclopedia.cyclonerake.com/docs/finding-the-right-parts-when-you-get-a-new-tractor?highlight=i%20need%20MDA%20hitch%20and%20hose</t>
  </si>
  <si>
    <t>Backfiring or afterfiring on a Briggs &amp; Stratton engine is usually caused by simple issues like stale fuel, running the engine at low throttle before shutting it off, a partially clogged carburetor, incorrect valve clearance, or a sheared flywheel key — not necessarily a failed engine. In most cases, the engine does not need to be replaced. Start by using fresh fuel, checking that you’re not shutting the throttle down abruptly from full speed, inspecting the carburetor for debris, and verifying the flywheel key if the engine recently hit something. This guide walks through the common causes and fixes step-by-step: https://cyclopedia.cyclonerake.com/docs/how-to-fix-backfiring-or-afterfiring-briggs-stratton-engines
. If those steps don’t resolve it, then further inspection would be recommended before considering engine replacement.</t>
  </si>
  <si>
    <t>Yes, a CRS model can be configured to work with your Toro Titan 50-inch zero turn, but the exact single-pin hitch setup, hose length, and Mower Deck Adapter (MDA) are customized based on the full mower model number and discharge configuration (right-side discharge only). The CRS system includes the single-pin tow bar as part of the package, and the correct deck adapter and hose size will be matched to your Titan once the exact model number is confirmed. The hose type (PVC or urethane) is selectable at purchase, and the system is built specifically for your mower rather than requiring you to piece together individual fork or hammock components separately.</t>
  </si>
  <si>
    <t>Yes — we absolutely offer products designed specifically to help dump the collector. The two available options are the Power Unloader and the Power Lift Unloader. The Power Unloader uses a manual crank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</si>
</sst>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6" x14ac:knownFonts="1">
    <font>
      <sz val="11"/>
      <color theme="1"/>
      <name val="Calibri"/>
      <family val="2"/>
      <scheme val="minor"/>
    </font>
    <font>
      <b/>
      <sz val="18"/>
      <color rgb="FF1F4E79"/>
      <name val="Georgia"/>
      <family val="1"/>
    </font>
    <font>
      <i/>
      <sz val="9"/>
      <color rgb="FF666666"/>
      <name val="Calibri"/>
      <family val="2"/>
    </font>
    <font>
      <b/>
      <sz val="12"/>
      <color rgb="FF1F4E79"/>
      <name val="Georgia"/>
      <family val="1"/>
    </font>
    <font>
      <sz val="10"/>
      <name val="Calibri"/>
      <family val="2"/>
    </font>
    <font>
      <b/>
      <sz val="10"/>
      <color rgb="FF2E7D32"/>
      <name val="Calibri"/>
      <family val="2"/>
    </font>
    <font>
      <b/>
      <sz val="10"/>
      <color rgb="FFF57C00"/>
      <name val="Calibri"/>
      <family val="2"/>
    </font>
    <font>
      <b/>
      <sz val="10"/>
      <color rgb="FFC62828"/>
      <name val="Calibri"/>
      <family val="2"/>
    </font>
    <font>
      <u/>
      <sz val="10"/>
      <color rgb="FF1F4E79"/>
      <name val="Calibri"/>
      <family val="2"/>
    </font>
    <font>
      <i/>
      <sz val="9"/>
      <color rgb="FF444444"/>
      <name val="Calibri"/>
      <family val="2"/>
    </font>
    <font>
      <b/>
      <sz val="10"/>
      <color rgb="FFFFFFFF"/>
      <name val="Georgia"/>
      <family val="1"/>
    </font>
    <font>
      <b/>
      <sz val="11"/>
      <color rgb="FF333333"/>
      <name val="Georgia"/>
      <family val="1"/>
    </font>
    <font>
      <b/>
      <sz val="10"/>
      <name val="Calibri"/>
      <family val="2"/>
    </font>
    <font>
      <b/>
      <sz val="9"/>
      <color rgb="FF666666"/>
      <name val="Calibri"/>
      <family val="2"/>
    </font>
    <font>
      <sz val="10"/>
      <name val="Calibri"/>
      <family val="2"/>
    </font>
    <font>
      <u/>
      <sz val="11"/>
      <color theme="10"/>
      <name val="Calibri"/>
      <family val="2"/>
      <scheme val="minor"/>
    </font>
    <font>
      <b/>
      <sz val="11"/>
      <color theme="1"/>
      <name val="Calibri"/>
      <family val="2"/>
      <scheme val="minor"/>
    </font>
    <font>
      <sz val="10"/>
      <color rgb="FF000000"/>
      <name val="Calibri"/>
      <family val="2"/>
    </font>
    <font>
      <sz val="10"/>
      <color rgb="FF000000"/>
      <name val="Calibri"/>
      <family val="2"/>
      <scheme val="minor"/>
    </font>
    <font>
      <sz val="8"/>
      <color theme="1"/>
      <name val="Arial"/>
      <family val="2"/>
    </font>
    <font>
      <sz val="11"/>
      <color theme="10"/>
      <name val="Calibri"/>
      <family val="2"/>
      <scheme val="minor"/>
    </font>
    <font>
      <sz val="10"/>
      <color rgb="FF000000"/>
      <name val="Calibri"/>
      <family val="2"/>
    </font>
    <font>
      <sz val="10"/>
      <color theme="1"/>
      <name val="Calibri"/>
      <family val="2"/>
      <scheme val="minor"/>
    </font>
    <font>
      <sz val="12"/>
      <color rgb="FF000000"/>
      <name val="Calibri"/>
      <family val="2"/>
      <scheme val="minor"/>
    </font>
    <font>
      <b/>
      <sz val="11"/>
      <color rgb="FF000000"/>
      <name val="Calibri"/>
      <family val="2"/>
    </font>
    <font>
      <sz val="11"/>
      <color rgb="FF000000"/>
      <name val="Calibri"/>
      <family val="2"/>
    </font>
  </fonts>
  <fills count="8">
    <fill>
      <patternFill patternType="none"/>
    </fill>
    <fill>
      <patternFill patternType="gray125"/>
    </fill>
    <fill>
      <patternFill patternType="solid">
        <fgColor rgb="FFE8F5E9"/>
        <bgColor rgb="FFE8F5E9"/>
      </patternFill>
    </fill>
    <fill>
      <patternFill patternType="solid">
        <fgColor rgb="FFFFF9C4"/>
        <bgColor rgb="FFFFF9C4"/>
      </patternFill>
    </fill>
    <fill>
      <patternFill patternType="solid">
        <fgColor rgb="FFFFCCBC"/>
        <bgColor rgb="FFFFCCBC"/>
      </patternFill>
    </fill>
    <fill>
      <patternFill patternType="solid">
        <fgColor rgb="FFE3F2FD"/>
        <bgColor rgb="FFE3F2FD"/>
      </patternFill>
    </fill>
    <fill>
      <patternFill patternType="solid">
        <fgColor rgb="FF1F4E79"/>
        <bgColor rgb="FF1F4E79"/>
      </patternFill>
    </fill>
    <fill>
      <patternFill patternType="solid">
        <fgColor rgb="FFF5F5F5"/>
        <bgColor rgb="FFF5F5F5"/>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medium">
        <color rgb="FF000000"/>
      </top>
      <bottom style="medium">
        <color rgb="FF1F4E79"/>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medium">
        <color rgb="FF000000"/>
      </top>
      <bottom style="medium">
        <color rgb="FF1F4E79"/>
      </bottom>
      <diagonal/>
    </border>
    <border>
      <left style="thin">
        <color rgb="FF000000"/>
      </left>
      <right/>
      <top style="thin">
        <color rgb="FF000000"/>
      </top>
      <bottom style="thin">
        <color rgb="FF000000"/>
      </bottom>
      <diagonal/>
    </border>
    <border>
      <left/>
      <right style="thin">
        <color rgb="FF000000"/>
      </right>
      <top style="medium">
        <color rgb="FF000000"/>
      </top>
      <bottom style="medium">
        <color rgb="FF1F4E79"/>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2">
    <xf numFmtId="0" fontId="0" fillId="0" borderId="0"/>
    <xf numFmtId="0" fontId="15" fillId="0" borderId="0" applyNumberFormat="0" applyFill="0" applyBorder="0" applyAlignment="0" applyProtection="0"/>
  </cellStyleXfs>
  <cellXfs count="6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1" xfId="0" applyFont="1" applyFill="1" applyBorder="1"/>
    <xf numFmtId="0" fontId="4" fillId="0" borderId="1" xfId="0" applyFont="1" applyBorder="1"/>
    <xf numFmtId="0" fontId="6" fillId="3" borderId="1" xfId="0" applyFont="1" applyFill="1" applyBorder="1"/>
    <xf numFmtId="0" fontId="7" fillId="4" borderId="1" xfId="0" applyFont="1" applyFill="1" applyBorder="1"/>
    <xf numFmtId="0" fontId="8" fillId="0" borderId="0" xfId="0" applyFont="1"/>
    <xf numFmtId="0" fontId="10" fillId="6" borderId="2"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top"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left" vertical="top" wrapText="1"/>
    </xf>
    <xf numFmtId="0" fontId="11" fillId="0" borderId="0" xfId="0" applyFont="1"/>
    <xf numFmtId="0" fontId="12" fillId="0" borderId="1" xfId="0" applyFont="1" applyBorder="1"/>
    <xf numFmtId="0" fontId="4" fillId="2" borderId="1" xfId="0" applyFont="1" applyFill="1" applyBorder="1"/>
    <xf numFmtId="0" fontId="4" fillId="3" borderId="1" xfId="0" applyFont="1" applyFill="1" applyBorder="1"/>
    <xf numFmtId="0" fontId="4" fillId="4" borderId="1" xfId="0" applyFont="1" applyFill="1" applyBorder="1"/>
    <xf numFmtId="164" fontId="4" fillId="0" borderId="1" xfId="0" applyNumberFormat="1" applyFont="1" applyBorder="1"/>
    <xf numFmtId="0" fontId="13" fillId="0" borderId="0" xfId="0" applyFont="1"/>
    <xf numFmtId="0" fontId="0" fillId="0" borderId="0" xfId="0" applyAlignment="1">
      <alignment wrapText="1"/>
    </xf>
    <xf numFmtId="0" fontId="10" fillId="6" borderId="5" xfId="0" applyFont="1" applyFill="1" applyBorder="1" applyAlignment="1">
      <alignment horizontal="center" vertical="center" wrapText="1"/>
    </xf>
    <xf numFmtId="0" fontId="14" fillId="0" borderId="6" xfId="0" applyFont="1" applyBorder="1" applyAlignment="1">
      <alignment horizontal="left" vertical="top" wrapText="1"/>
    </xf>
    <xf numFmtId="0" fontId="4" fillId="0" borderId="6" xfId="0" applyFont="1" applyBorder="1" applyAlignment="1">
      <alignment horizontal="left" vertical="top" wrapText="1"/>
    </xf>
    <xf numFmtId="0" fontId="4" fillId="7" borderId="6" xfId="0" applyFont="1" applyFill="1" applyBorder="1" applyAlignment="1">
      <alignment horizontal="left" vertical="top" wrapText="1"/>
    </xf>
    <xf numFmtId="0" fontId="10" fillId="6" borderId="7" xfId="0" applyFont="1" applyFill="1" applyBorder="1" applyAlignment="1">
      <alignment horizontal="center" vertical="center" wrapText="1"/>
    </xf>
    <xf numFmtId="0" fontId="4" fillId="0" borderId="4" xfId="0" applyFont="1" applyBorder="1" applyAlignment="1">
      <alignment horizontal="left" vertical="center" wrapText="1"/>
    </xf>
    <xf numFmtId="0" fontId="10" fillId="6" borderId="9" xfId="0" applyFont="1" applyFill="1" applyBorder="1" applyAlignment="1">
      <alignment horizontal="center" vertical="center" wrapText="1"/>
    </xf>
    <xf numFmtId="0" fontId="17" fillId="0" borderId="1" xfId="0" applyFont="1" applyBorder="1" applyAlignment="1">
      <alignment horizontal="left" vertical="top" wrapText="1"/>
    </xf>
    <xf numFmtId="0" fontId="17" fillId="7" borderId="1" xfId="0" applyFont="1" applyFill="1" applyBorder="1" applyAlignment="1">
      <alignment horizontal="left" vertical="top" wrapText="1"/>
    </xf>
    <xf numFmtId="0" fontId="19" fillId="0" borderId="0" xfId="0" applyFont="1"/>
    <xf numFmtId="0" fontId="14" fillId="0" borderId="1" xfId="0" applyFont="1" applyBorder="1" applyAlignment="1">
      <alignment horizontal="left" vertical="top" wrapText="1"/>
    </xf>
    <xf numFmtId="0" fontId="14" fillId="7" borderId="1" xfId="0" applyFont="1" applyFill="1" applyBorder="1" applyAlignment="1">
      <alignment horizontal="left" vertical="top" wrapText="1"/>
    </xf>
    <xf numFmtId="0" fontId="20" fillId="7" borderId="1" xfId="1" applyFont="1" applyFill="1" applyBorder="1" applyAlignment="1">
      <alignment horizontal="left" vertical="top" wrapText="1"/>
    </xf>
    <xf numFmtId="0" fontId="0" fillId="0" borderId="1" xfId="0" applyBorder="1" applyAlignment="1">
      <alignment wrapText="1"/>
    </xf>
    <xf numFmtId="0" fontId="0" fillId="0" borderId="1" xfId="0" applyBorder="1"/>
    <xf numFmtId="0" fontId="15" fillId="0" borderId="0" xfId="1" applyAlignment="1">
      <alignment wrapText="1"/>
    </xf>
    <xf numFmtId="14" fontId="4" fillId="0" borderId="1" xfId="0" applyNumberFormat="1" applyFont="1" applyBorder="1" applyAlignment="1">
      <alignment horizontal="left" vertical="center" wrapText="1"/>
    </xf>
    <xf numFmtId="14" fontId="4" fillId="7" borderId="1" xfId="0" applyNumberFormat="1" applyFont="1" applyFill="1" applyBorder="1" applyAlignment="1">
      <alignment horizontal="left" vertical="center" wrapText="1"/>
    </xf>
    <xf numFmtId="14" fontId="4" fillId="0" borderId="1" xfId="0" applyNumberFormat="1" applyFont="1" applyBorder="1" applyAlignment="1">
      <alignment horizontal="left" vertical="top" wrapText="1"/>
    </xf>
    <xf numFmtId="0" fontId="14" fillId="7" borderId="8" xfId="0" applyFont="1" applyFill="1" applyBorder="1" applyAlignment="1">
      <alignment horizontal="left" vertical="top" wrapText="1"/>
    </xf>
    <xf numFmtId="0" fontId="18" fillId="0" borderId="0" xfId="0" applyFont="1" applyAlignment="1">
      <alignment vertical="top" wrapText="1"/>
    </xf>
    <xf numFmtId="0" fontId="21" fillId="0" borderId="0" xfId="0" applyFont="1"/>
    <xf numFmtId="0" fontId="22" fillId="0" borderId="0" xfId="0" applyFont="1" applyAlignment="1">
      <alignment wrapText="1"/>
    </xf>
    <xf numFmtId="14" fontId="23" fillId="0" borderId="0" xfId="0" applyNumberFormat="1" applyFont="1"/>
    <xf numFmtId="0" fontId="24" fillId="0" borderId="0" xfId="0" applyFont="1" applyAlignment="1">
      <alignment wrapText="1"/>
    </xf>
    <xf numFmtId="0" fontId="0" fillId="0" borderId="0" xfId="0" applyAlignment="1">
      <alignment vertical="top" wrapText="1"/>
    </xf>
    <xf numFmtId="0" fontId="4" fillId="0" borderId="6" xfId="0" applyFont="1" applyBorder="1" applyAlignment="1">
      <alignment horizontal="left" vertical="center" wrapText="1"/>
    </xf>
    <xf numFmtId="0" fontId="4" fillId="7" borderId="10" xfId="0" applyFont="1" applyFill="1" applyBorder="1" applyAlignment="1">
      <alignment horizontal="left" vertical="top" wrapText="1"/>
    </xf>
    <xf numFmtId="0" fontId="4" fillId="7" borderId="8" xfId="0" applyFont="1" applyFill="1" applyBorder="1" applyAlignment="1">
      <alignment horizontal="left" vertical="top" wrapText="1"/>
    </xf>
    <xf numFmtId="0" fontId="0" fillId="0" borderId="9" xfId="0" applyBorder="1" applyAlignment="1">
      <alignment wrapText="1"/>
    </xf>
    <xf numFmtId="0" fontId="2" fillId="0" borderId="0" xfId="0" applyFont="1"/>
    <xf numFmtId="0" fontId="0" fillId="0" borderId="0" xfId="0"/>
    <xf numFmtId="0" fontId="9" fillId="0" borderId="0" xfId="0" applyFont="1"/>
    <xf numFmtId="0" fontId="3" fillId="5" borderId="1" xfId="0" applyFont="1" applyFill="1" applyBorder="1"/>
    <xf numFmtId="0" fontId="0" fillId="0" borderId="3" xfId="0" applyBorder="1"/>
    <xf numFmtId="0" fontId="0" fillId="0" borderId="4" xfId="0" applyBorder="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33"/>
  <sheetViews>
    <sheetView showGridLines="0" topLeftCell="A3" workbookViewId="0"/>
  </sheetViews>
  <sheetFormatPr baseColWidth="10" defaultColWidth="8.83203125" defaultRowHeight="15" x14ac:dyDescent="0.2"/>
  <cols>
    <col min="1" max="1" width="3" customWidth="1"/>
    <col min="2" max="2" width="80" customWidth="1"/>
    <col min="3" max="3" width="60" customWidth="1"/>
  </cols>
  <sheetData>
    <row r="2" spans="2:2" ht="22" x14ac:dyDescent="0.3">
      <c r="B2" s="1" t="s">
        <v>0</v>
      </c>
    </row>
    <row r="3" spans="2:2" x14ac:dyDescent="0.2">
      <c r="B3" s="2" t="s">
        <v>1</v>
      </c>
    </row>
    <row r="5" spans="2:2" ht="16" x14ac:dyDescent="0.25">
      <c r="B5" s="3" t="s">
        <v>2</v>
      </c>
    </row>
    <row r="7" spans="2:2" x14ac:dyDescent="0.2">
      <c r="B7" s="4" t="s">
        <v>3</v>
      </c>
    </row>
    <row r="8" spans="2:2" x14ac:dyDescent="0.2">
      <c r="B8" s="4" t="s">
        <v>4</v>
      </c>
    </row>
    <row r="9" spans="2:2" x14ac:dyDescent="0.2">
      <c r="B9" s="4" t="s">
        <v>5</v>
      </c>
    </row>
    <row r="10" spans="2:2" x14ac:dyDescent="0.2">
      <c r="B10" s="4" t="s">
        <v>6</v>
      </c>
    </row>
    <row r="11" spans="2:2" x14ac:dyDescent="0.2">
      <c r="B11" s="4" t="s">
        <v>7</v>
      </c>
    </row>
    <row r="12" spans="2:2" x14ac:dyDescent="0.2">
      <c r="B12" s="4" t="s">
        <v>8</v>
      </c>
    </row>
    <row r="13" spans="2:2" x14ac:dyDescent="0.2">
      <c r="B13" s="4" t="s">
        <v>9</v>
      </c>
    </row>
    <row r="16" spans="2:2" ht="16" x14ac:dyDescent="0.25">
      <c r="B16" s="3" t="s">
        <v>10</v>
      </c>
    </row>
    <row r="18" spans="2:3" x14ac:dyDescent="0.2">
      <c r="B18" s="5" t="s">
        <v>11</v>
      </c>
      <c r="C18" s="6" t="s">
        <v>12</v>
      </c>
    </row>
    <row r="19" spans="2:3" x14ac:dyDescent="0.2">
      <c r="B19" s="7" t="s">
        <v>13</v>
      </c>
      <c r="C19" s="6" t="s">
        <v>14</v>
      </c>
    </row>
    <row r="20" spans="2:3" x14ac:dyDescent="0.2">
      <c r="B20" s="8" t="s">
        <v>15</v>
      </c>
      <c r="C20" s="6" t="s">
        <v>16</v>
      </c>
    </row>
    <row r="23" spans="2:3" ht="16" x14ac:dyDescent="0.25">
      <c r="B23" s="3" t="s">
        <v>17</v>
      </c>
    </row>
    <row r="25" spans="2:3" x14ac:dyDescent="0.2">
      <c r="B25" s="9" t="s">
        <v>18</v>
      </c>
    </row>
    <row r="26" spans="2:3" x14ac:dyDescent="0.2">
      <c r="B26" s="2" t="s">
        <v>19</v>
      </c>
    </row>
    <row r="27" spans="2:3" x14ac:dyDescent="0.2">
      <c r="B27" s="2" t="s">
        <v>20</v>
      </c>
    </row>
    <row r="28" spans="2:3" x14ac:dyDescent="0.2">
      <c r="B28" s="9" t="s">
        <v>21</v>
      </c>
    </row>
    <row r="29" spans="2:3" x14ac:dyDescent="0.2">
      <c r="B29" s="9" t="s">
        <v>22</v>
      </c>
    </row>
    <row r="30" spans="2:3" x14ac:dyDescent="0.2">
      <c r="B30" s="9" t="s">
        <v>23</v>
      </c>
    </row>
    <row r="33" spans="2:2" x14ac:dyDescent="0.2">
      <c r="B33" s="2" t="s">
        <v>24</v>
      </c>
    </row>
  </sheetData>
  <hyperlinks>
    <hyperlink ref="B25" location="'Tractor Fitment'!A1" display="Tractor Fitment (100 tests total)" xr:uid="{00000000-0004-0000-0000-000000000000}"/>
    <hyperlink ref="B28" location="'Product History'!A1" display="Product History (100 tests)" xr:uid="{00000000-0004-0000-0000-000001000000}"/>
    <hyperlink ref="B29" location="'Engine History'!A1" display="Engine History (100 tests)" xr:uid="{00000000-0004-0000-0000-000002000000}"/>
    <hyperlink ref="B30" location="'WPP Supervisor'!A1" display="WPP Supervisor (100 tests)"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138"/>
  <sheetViews>
    <sheetView showGridLines="0" workbookViewId="0">
      <pane xSplit="1" ySplit="5" topLeftCell="B6" activePane="bottomRight" state="frozen"/>
      <selection pane="topRight"/>
      <selection pane="bottomLeft"/>
      <selection pane="bottomRight"/>
    </sheetView>
  </sheetViews>
  <sheetFormatPr baseColWidth="10" defaultColWidth="8.83203125" defaultRowHeight="15" x14ac:dyDescent="0.2"/>
  <cols>
    <col min="1" max="1" width="3" customWidth="1"/>
    <col min="2" max="2" width="6" customWidth="1"/>
    <col min="3" max="3" width="12" customWidth="1"/>
    <col min="4" max="5" width="15" customWidth="1"/>
    <col min="6" max="6" width="45" customWidth="1"/>
    <col min="7" max="7" width="50" customWidth="1"/>
    <col min="8" max="8" width="12" customWidth="1"/>
    <col min="9" max="10" width="35" customWidth="1"/>
  </cols>
  <sheetData>
    <row r="2" spans="2:10" ht="22" x14ac:dyDescent="0.3">
      <c r="B2" s="1" t="s">
        <v>25</v>
      </c>
    </row>
    <row r="3" spans="2:10" x14ac:dyDescent="0.2">
      <c r="B3" s="2" t="s">
        <v>26</v>
      </c>
    </row>
    <row r="5" spans="2:10" ht="16" x14ac:dyDescent="0.25">
      <c r="B5" s="58" t="s">
        <v>27</v>
      </c>
      <c r="C5" s="59"/>
      <c r="D5" s="59"/>
      <c r="E5" s="59"/>
      <c r="F5" s="59"/>
      <c r="G5" s="59"/>
      <c r="H5" s="59"/>
      <c r="I5" s="59"/>
      <c r="J5" s="60"/>
    </row>
    <row r="6" spans="2:10" x14ac:dyDescent="0.2">
      <c r="B6" s="55" t="s">
        <v>28</v>
      </c>
      <c r="C6" s="56"/>
      <c r="D6" s="56"/>
      <c r="E6" s="56"/>
      <c r="F6" s="56"/>
      <c r="G6" s="56"/>
      <c r="H6" s="56"/>
      <c r="I6" s="56"/>
      <c r="J6" s="56"/>
    </row>
    <row r="7" spans="2:10" x14ac:dyDescent="0.2">
      <c r="B7" s="57" t="s">
        <v>29</v>
      </c>
      <c r="C7" s="56"/>
      <c r="D7" s="56"/>
      <c r="E7" s="56"/>
      <c r="F7" s="56"/>
      <c r="G7" s="56"/>
      <c r="H7" s="56"/>
      <c r="I7" s="56"/>
      <c r="J7" s="56"/>
    </row>
    <row r="9" spans="2:10" x14ac:dyDescent="0.2">
      <c r="B9" s="10" t="s">
        <v>30</v>
      </c>
      <c r="C9" s="10" t="s">
        <v>31</v>
      </c>
      <c r="D9" s="10" t="s">
        <v>32</v>
      </c>
      <c r="E9" s="10" t="s">
        <v>33</v>
      </c>
      <c r="F9" s="10" t="s">
        <v>34</v>
      </c>
      <c r="G9" s="10" t="s">
        <v>35</v>
      </c>
      <c r="H9" s="10" t="s">
        <v>36</v>
      </c>
      <c r="I9" s="10" t="s">
        <v>37</v>
      </c>
      <c r="J9" s="10" t="s">
        <v>38</v>
      </c>
    </row>
    <row r="10" spans="2:10" ht="35" customHeight="1" x14ac:dyDescent="0.2">
      <c r="B10" s="11">
        <v>1</v>
      </c>
      <c r="C10" s="41">
        <v>46059</v>
      </c>
      <c r="D10" s="12" t="s">
        <v>506</v>
      </c>
      <c r="E10" s="12" t="s">
        <v>507</v>
      </c>
      <c r="F10" s="13" t="s">
        <v>978</v>
      </c>
      <c r="G10" s="13" t="s">
        <v>984</v>
      </c>
      <c r="H10" s="12" t="s">
        <v>15</v>
      </c>
      <c r="I10" s="13" t="s">
        <v>991</v>
      </c>
      <c r="J10" s="13" t="s">
        <v>997</v>
      </c>
    </row>
    <row r="11" spans="2:10" ht="35" customHeight="1" x14ac:dyDescent="0.2">
      <c r="B11" s="14">
        <v>2</v>
      </c>
      <c r="C11" s="42">
        <v>46063</v>
      </c>
      <c r="D11" s="15" t="s">
        <v>506</v>
      </c>
      <c r="E11" s="15" t="s">
        <v>507</v>
      </c>
      <c r="F11" s="16" t="s">
        <v>978</v>
      </c>
      <c r="G11" s="16" t="s">
        <v>985</v>
      </c>
      <c r="H11" s="15" t="s">
        <v>15</v>
      </c>
      <c r="I11" s="16" t="s">
        <v>992</v>
      </c>
      <c r="J11" s="16" t="s">
        <v>998</v>
      </c>
    </row>
    <row r="12" spans="2:10" ht="35" customHeight="1" x14ac:dyDescent="0.2">
      <c r="B12" s="11">
        <v>3</v>
      </c>
      <c r="C12" s="41">
        <v>46063</v>
      </c>
      <c r="D12" s="12" t="s">
        <v>506</v>
      </c>
      <c r="E12" s="12" t="s">
        <v>507</v>
      </c>
      <c r="F12" s="13" t="s">
        <v>979</v>
      </c>
      <c r="G12" s="13" t="s">
        <v>986</v>
      </c>
      <c r="H12" s="12" t="s">
        <v>15</v>
      </c>
      <c r="I12" s="13" t="s">
        <v>993</v>
      </c>
      <c r="J12" s="13" t="s">
        <v>999</v>
      </c>
    </row>
    <row r="13" spans="2:10" ht="35" customHeight="1" x14ac:dyDescent="0.2">
      <c r="B13" s="14">
        <v>4</v>
      </c>
      <c r="C13" s="42">
        <v>46063</v>
      </c>
      <c r="D13" s="15" t="s">
        <v>506</v>
      </c>
      <c r="E13" s="15" t="s">
        <v>507</v>
      </c>
      <c r="F13" s="16" t="s">
        <v>980</v>
      </c>
      <c r="G13" s="16" t="s">
        <v>987</v>
      </c>
      <c r="H13" s="15" t="s">
        <v>13</v>
      </c>
      <c r="I13" s="16" t="s">
        <v>994</v>
      </c>
      <c r="J13" s="16" t="s">
        <v>1000</v>
      </c>
    </row>
    <row r="14" spans="2:10" ht="35" customHeight="1" x14ac:dyDescent="0.2">
      <c r="B14" s="11">
        <v>5</v>
      </c>
      <c r="C14" s="41">
        <v>46063</v>
      </c>
      <c r="D14" s="12" t="s">
        <v>506</v>
      </c>
      <c r="E14" s="12" t="s">
        <v>507</v>
      </c>
      <c r="F14" s="13" t="s">
        <v>981</v>
      </c>
      <c r="G14" s="13" t="s">
        <v>988</v>
      </c>
      <c r="H14" s="12" t="s">
        <v>13</v>
      </c>
      <c r="I14" s="13" t="s">
        <v>995</v>
      </c>
      <c r="J14" s="13" t="s">
        <v>1000</v>
      </c>
    </row>
    <row r="15" spans="2:10" ht="35" customHeight="1" x14ac:dyDescent="0.2">
      <c r="B15" s="14">
        <v>6</v>
      </c>
      <c r="C15" s="42">
        <v>46063</v>
      </c>
      <c r="D15" s="15" t="s">
        <v>506</v>
      </c>
      <c r="E15" s="15" t="s">
        <v>507</v>
      </c>
      <c r="F15" s="16" t="s">
        <v>982</v>
      </c>
      <c r="G15" s="16" t="s">
        <v>989</v>
      </c>
      <c r="H15" s="15" t="s">
        <v>11</v>
      </c>
      <c r="I15" s="16"/>
      <c r="J15" s="16" t="s">
        <v>1002</v>
      </c>
    </row>
    <row r="16" spans="2:10" ht="35" customHeight="1" x14ac:dyDescent="0.2">
      <c r="B16" s="11">
        <v>7</v>
      </c>
      <c r="C16" s="41">
        <v>46063</v>
      </c>
      <c r="D16" s="12" t="s">
        <v>506</v>
      </c>
      <c r="E16" s="12" t="s">
        <v>507</v>
      </c>
      <c r="F16" s="13" t="s">
        <v>983</v>
      </c>
      <c r="G16" s="13" t="s">
        <v>990</v>
      </c>
      <c r="H16" s="12" t="s">
        <v>13</v>
      </c>
      <c r="I16" s="13" t="s">
        <v>996</v>
      </c>
      <c r="J16" s="13" t="s">
        <v>997</v>
      </c>
    </row>
    <row r="17" spans="2:14" ht="35" customHeight="1" x14ac:dyDescent="0.2">
      <c r="B17" s="14">
        <v>8</v>
      </c>
      <c r="C17" s="48">
        <v>46063</v>
      </c>
      <c r="D17" s="15" t="s">
        <v>506</v>
      </c>
      <c r="E17" s="15" t="s">
        <v>507</v>
      </c>
      <c r="F17" s="16" t="s">
        <v>1061</v>
      </c>
      <c r="G17" s="16" t="s">
        <v>1062</v>
      </c>
      <c r="H17" s="15" t="s">
        <v>13</v>
      </c>
      <c r="I17" s="16" t="s">
        <v>1063</v>
      </c>
      <c r="J17" s="16" t="s">
        <v>1064</v>
      </c>
      <c r="N17" s="24"/>
    </row>
    <row r="18" spans="2:14" ht="35" customHeight="1" x14ac:dyDescent="0.2">
      <c r="B18" s="11">
        <v>9</v>
      </c>
      <c r="C18" s="41">
        <v>46065</v>
      </c>
      <c r="D18" s="12" t="s">
        <v>506</v>
      </c>
      <c r="E18" s="12" t="s">
        <v>507</v>
      </c>
      <c r="F18" s="13" t="s">
        <v>508</v>
      </c>
      <c r="G18" s="13" t="s">
        <v>509</v>
      </c>
      <c r="H18" s="12" t="s">
        <v>13</v>
      </c>
      <c r="I18" s="13" t="s">
        <v>510</v>
      </c>
      <c r="J18" s="13" t="s">
        <v>512</v>
      </c>
    </row>
    <row r="19" spans="2:14" ht="35" customHeight="1" x14ac:dyDescent="0.2">
      <c r="B19" s="14">
        <v>10</v>
      </c>
      <c r="C19" s="42">
        <v>46065</v>
      </c>
      <c r="D19" s="15" t="s">
        <v>506</v>
      </c>
      <c r="E19" s="15" t="s">
        <v>507</v>
      </c>
      <c r="F19" s="16" t="s">
        <v>514</v>
      </c>
      <c r="G19" s="16" t="s">
        <v>515</v>
      </c>
      <c r="H19" s="15" t="s">
        <v>13</v>
      </c>
      <c r="I19" s="16" t="s">
        <v>510</v>
      </c>
      <c r="J19" s="16" t="s">
        <v>512</v>
      </c>
    </row>
    <row r="20" spans="2:14" ht="35" customHeight="1" x14ac:dyDescent="0.2">
      <c r="B20" s="11">
        <v>11</v>
      </c>
      <c r="C20" s="41">
        <v>46065</v>
      </c>
      <c r="D20" s="12" t="s">
        <v>506</v>
      </c>
      <c r="E20" s="12" t="s">
        <v>507</v>
      </c>
      <c r="F20" s="13" t="s">
        <v>520</v>
      </c>
      <c r="G20" s="13" t="s">
        <v>518</v>
      </c>
      <c r="H20" s="12" t="s">
        <v>15</v>
      </c>
      <c r="I20" s="13" t="s">
        <v>517</v>
      </c>
      <c r="J20" s="13" t="s">
        <v>516</v>
      </c>
    </row>
    <row r="21" spans="2:14" ht="35" customHeight="1" x14ac:dyDescent="0.2">
      <c r="B21" s="14">
        <v>12</v>
      </c>
      <c r="C21" s="42">
        <v>46065</v>
      </c>
      <c r="D21" s="15" t="s">
        <v>506</v>
      </c>
      <c r="E21" s="15" t="s">
        <v>507</v>
      </c>
      <c r="F21" s="36" t="s">
        <v>521</v>
      </c>
      <c r="G21" s="36" t="s">
        <v>522</v>
      </c>
      <c r="H21" s="15" t="s">
        <v>13</v>
      </c>
      <c r="I21" s="16" t="s">
        <v>523</v>
      </c>
      <c r="J21" s="16" t="s">
        <v>524</v>
      </c>
    </row>
    <row r="22" spans="2:14" ht="35" customHeight="1" x14ac:dyDescent="0.2">
      <c r="B22" s="11">
        <v>13</v>
      </c>
      <c r="C22" s="41">
        <v>46065</v>
      </c>
      <c r="D22" s="12" t="s">
        <v>506</v>
      </c>
      <c r="E22" s="12" t="s">
        <v>507</v>
      </c>
      <c r="F22" s="35" t="s">
        <v>537</v>
      </c>
      <c r="G22" s="35" t="s">
        <v>539</v>
      </c>
      <c r="H22" s="12" t="s">
        <v>13</v>
      </c>
      <c r="I22" s="13" t="s">
        <v>541</v>
      </c>
      <c r="J22" s="13" t="s">
        <v>542</v>
      </c>
    </row>
    <row r="23" spans="2:14" ht="35" customHeight="1" x14ac:dyDescent="0.2">
      <c r="B23" s="14">
        <v>14</v>
      </c>
      <c r="C23" s="42">
        <v>46065</v>
      </c>
      <c r="D23" s="15" t="s">
        <v>506</v>
      </c>
      <c r="E23" s="15" t="s">
        <v>507</v>
      </c>
      <c r="F23" s="16" t="s">
        <v>583</v>
      </c>
      <c r="G23" s="16" t="s">
        <v>586</v>
      </c>
      <c r="H23" s="15" t="s">
        <v>13</v>
      </c>
      <c r="I23" s="16" t="s">
        <v>587</v>
      </c>
      <c r="J23" s="16" t="s">
        <v>589</v>
      </c>
    </row>
    <row r="24" spans="2:14" ht="35" customHeight="1" x14ac:dyDescent="0.2">
      <c r="B24" s="11">
        <v>15</v>
      </c>
      <c r="C24" s="41">
        <v>46065</v>
      </c>
      <c r="D24" s="12" t="s">
        <v>506</v>
      </c>
      <c r="E24" s="12" t="s">
        <v>507</v>
      </c>
      <c r="F24" s="13" t="s">
        <v>647</v>
      </c>
      <c r="G24" s="13" t="s">
        <v>652</v>
      </c>
      <c r="H24" s="12" t="s">
        <v>13</v>
      </c>
      <c r="I24" s="13" t="s">
        <v>654</v>
      </c>
      <c r="J24" s="46" t="s">
        <v>589</v>
      </c>
    </row>
    <row r="25" spans="2:14" ht="35" customHeight="1" x14ac:dyDescent="0.2">
      <c r="B25" s="14">
        <v>16</v>
      </c>
      <c r="C25" s="42">
        <v>46065</v>
      </c>
      <c r="D25" s="15" t="s">
        <v>506</v>
      </c>
      <c r="E25" s="15" t="s">
        <v>507</v>
      </c>
      <c r="F25" s="16" t="s">
        <v>664</v>
      </c>
      <c r="G25" s="16" t="s">
        <v>667</v>
      </c>
      <c r="H25" s="15" t="s">
        <v>15</v>
      </c>
      <c r="I25" s="16" t="s">
        <v>668</v>
      </c>
      <c r="J25" s="16" t="s">
        <v>669</v>
      </c>
    </row>
    <row r="26" spans="2:14" ht="35" customHeight="1" x14ac:dyDescent="0.2">
      <c r="B26" s="11">
        <v>17</v>
      </c>
      <c r="C26" s="41">
        <v>46065</v>
      </c>
      <c r="D26" s="12" t="s">
        <v>506</v>
      </c>
      <c r="E26" s="12" t="s">
        <v>507</v>
      </c>
      <c r="F26" s="13" t="s">
        <v>700</v>
      </c>
      <c r="G26" s="13" t="s">
        <v>702</v>
      </c>
      <c r="H26" s="12" t="s">
        <v>11</v>
      </c>
      <c r="I26" s="13"/>
      <c r="J26" s="13" t="s">
        <v>704</v>
      </c>
    </row>
    <row r="27" spans="2:14" ht="35" customHeight="1" x14ac:dyDescent="0.2">
      <c r="B27" s="14">
        <v>18</v>
      </c>
      <c r="C27" s="42">
        <v>46065</v>
      </c>
      <c r="D27" s="15" t="s">
        <v>506</v>
      </c>
      <c r="E27" s="15" t="s">
        <v>507</v>
      </c>
      <c r="F27" s="16" t="s">
        <v>709</v>
      </c>
      <c r="G27" s="16" t="s">
        <v>710</v>
      </c>
      <c r="H27" s="15" t="s">
        <v>11</v>
      </c>
      <c r="I27" s="16"/>
      <c r="J27" s="16" t="s">
        <v>711</v>
      </c>
    </row>
    <row r="28" spans="2:14" ht="35" customHeight="1" x14ac:dyDescent="0.2">
      <c r="B28" s="11">
        <v>19</v>
      </c>
      <c r="C28" s="41">
        <v>46065</v>
      </c>
      <c r="D28" s="12" t="s">
        <v>506</v>
      </c>
      <c r="E28" s="12" t="s">
        <v>507</v>
      </c>
      <c r="F28" s="13" t="s">
        <v>794</v>
      </c>
      <c r="G28" s="13" t="s">
        <v>795</v>
      </c>
      <c r="H28" s="12" t="s">
        <v>11</v>
      </c>
      <c r="I28" s="13" t="s">
        <v>796</v>
      </c>
      <c r="J28" s="13" t="s">
        <v>799</v>
      </c>
    </row>
    <row r="29" spans="2:14" ht="35" customHeight="1" x14ac:dyDescent="0.2">
      <c r="B29" s="14">
        <v>20</v>
      </c>
      <c r="C29" s="42">
        <v>46065</v>
      </c>
      <c r="D29" s="15" t="s">
        <v>506</v>
      </c>
      <c r="E29" s="15" t="s">
        <v>507</v>
      </c>
      <c r="F29" s="16" t="s">
        <v>845</v>
      </c>
      <c r="G29" s="16" t="s">
        <v>846</v>
      </c>
      <c r="H29" s="15" t="s">
        <v>13</v>
      </c>
      <c r="I29" s="16" t="s">
        <v>796</v>
      </c>
      <c r="J29" s="16" t="s">
        <v>847</v>
      </c>
    </row>
    <row r="30" spans="2:14" ht="35" customHeight="1" x14ac:dyDescent="0.2">
      <c r="B30" s="11">
        <v>21</v>
      </c>
      <c r="C30" s="41">
        <v>46065</v>
      </c>
      <c r="D30" s="12" t="s">
        <v>506</v>
      </c>
      <c r="E30" s="12" t="s">
        <v>507</v>
      </c>
      <c r="F30" s="13" t="s">
        <v>884</v>
      </c>
      <c r="G30" s="13" t="s">
        <v>885</v>
      </c>
      <c r="H30" s="12" t="s">
        <v>11</v>
      </c>
      <c r="I30" s="13"/>
      <c r="J30" s="13" t="s">
        <v>886</v>
      </c>
    </row>
    <row r="31" spans="2:14" ht="35" customHeight="1" x14ac:dyDescent="0.2">
      <c r="B31" s="14">
        <v>22</v>
      </c>
      <c r="C31" s="42">
        <v>46066</v>
      </c>
      <c r="D31" s="15" t="s">
        <v>506</v>
      </c>
      <c r="E31" s="15" t="s">
        <v>507</v>
      </c>
      <c r="F31" s="16" t="s">
        <v>887</v>
      </c>
      <c r="G31" s="16" t="s">
        <v>888</v>
      </c>
      <c r="H31" s="15" t="s">
        <v>11</v>
      </c>
      <c r="I31" s="16" t="s">
        <v>889</v>
      </c>
      <c r="J31" s="16" t="s">
        <v>890</v>
      </c>
    </row>
    <row r="32" spans="2:14" ht="35" customHeight="1" x14ac:dyDescent="0.2">
      <c r="B32" s="11">
        <v>23</v>
      </c>
      <c r="C32" s="41">
        <v>46066</v>
      </c>
      <c r="D32" s="12" t="s">
        <v>506</v>
      </c>
      <c r="E32" s="12" t="s">
        <v>507</v>
      </c>
      <c r="F32" s="13" t="s">
        <v>891</v>
      </c>
      <c r="G32" s="13" t="s">
        <v>892</v>
      </c>
      <c r="H32" s="12" t="s">
        <v>11</v>
      </c>
      <c r="I32" s="13" t="s">
        <v>893</v>
      </c>
      <c r="J32" s="13" t="s">
        <v>890</v>
      </c>
    </row>
    <row r="33" spans="2:10" ht="35" customHeight="1" x14ac:dyDescent="0.2">
      <c r="B33" s="14">
        <v>24</v>
      </c>
      <c r="C33" s="42">
        <v>46066</v>
      </c>
      <c r="D33" s="15" t="s">
        <v>506</v>
      </c>
      <c r="E33" s="15" t="s">
        <v>507</v>
      </c>
      <c r="F33" s="16" t="s">
        <v>894</v>
      </c>
      <c r="G33" s="16" t="s">
        <v>895</v>
      </c>
      <c r="H33" s="15" t="s">
        <v>11</v>
      </c>
      <c r="I33" s="16" t="s">
        <v>896</v>
      </c>
      <c r="J33" s="16" t="s">
        <v>897</v>
      </c>
    </row>
    <row r="34" spans="2:10" ht="35" customHeight="1" x14ac:dyDescent="0.2">
      <c r="B34" s="11">
        <v>25</v>
      </c>
      <c r="C34" s="41">
        <v>46066</v>
      </c>
      <c r="D34" s="12" t="s">
        <v>506</v>
      </c>
      <c r="E34" s="12" t="s">
        <v>507</v>
      </c>
      <c r="F34" s="13" t="s">
        <v>898</v>
      </c>
      <c r="G34" s="13" t="s">
        <v>899</v>
      </c>
      <c r="H34" s="12" t="s">
        <v>11</v>
      </c>
      <c r="I34" s="13" t="s">
        <v>901</v>
      </c>
      <c r="J34" s="13" t="s">
        <v>900</v>
      </c>
    </row>
    <row r="35" spans="2:10" ht="35" customHeight="1" x14ac:dyDescent="0.2">
      <c r="B35" s="14">
        <v>26</v>
      </c>
      <c r="C35" s="42">
        <v>46066</v>
      </c>
      <c r="D35" s="15" t="s">
        <v>506</v>
      </c>
      <c r="E35" s="15" t="s">
        <v>507</v>
      </c>
      <c r="F35" s="16" t="s">
        <v>902</v>
      </c>
      <c r="G35" s="16" t="s">
        <v>903</v>
      </c>
      <c r="H35" s="15" t="s">
        <v>11</v>
      </c>
      <c r="I35" s="16" t="s">
        <v>896</v>
      </c>
      <c r="J35" s="16" t="s">
        <v>904</v>
      </c>
    </row>
    <row r="36" spans="2:10" ht="35" customHeight="1" x14ac:dyDescent="0.2">
      <c r="B36" s="11">
        <v>27</v>
      </c>
      <c r="C36" s="41">
        <v>46066</v>
      </c>
      <c r="D36" s="12" t="s">
        <v>506</v>
      </c>
      <c r="E36" s="12" t="s">
        <v>507</v>
      </c>
      <c r="F36" s="13" t="s">
        <v>887</v>
      </c>
      <c r="G36" s="13" t="s">
        <v>905</v>
      </c>
      <c r="H36" s="12" t="s">
        <v>11</v>
      </c>
      <c r="I36" s="13" t="s">
        <v>906</v>
      </c>
      <c r="J36" s="13" t="s">
        <v>907</v>
      </c>
    </row>
    <row r="37" spans="2:10" ht="35" customHeight="1" x14ac:dyDescent="0.2">
      <c r="B37" s="14">
        <v>28</v>
      </c>
      <c r="C37" s="42">
        <v>46066</v>
      </c>
      <c r="D37" s="15" t="s">
        <v>506</v>
      </c>
      <c r="E37" s="15" t="s">
        <v>507</v>
      </c>
      <c r="F37" s="16" t="s">
        <v>908</v>
      </c>
      <c r="G37" s="16" t="s">
        <v>909</v>
      </c>
      <c r="H37" s="15" t="s">
        <v>11</v>
      </c>
      <c r="I37" s="16" t="s">
        <v>896</v>
      </c>
      <c r="J37" s="16" t="s">
        <v>907</v>
      </c>
    </row>
    <row r="38" spans="2:10" ht="35" customHeight="1" x14ac:dyDescent="0.2">
      <c r="B38" s="11">
        <v>29</v>
      </c>
      <c r="C38" s="41">
        <v>46066</v>
      </c>
      <c r="D38" s="12" t="s">
        <v>506</v>
      </c>
      <c r="E38" s="12" t="s">
        <v>507</v>
      </c>
      <c r="F38" s="13" t="s">
        <v>910</v>
      </c>
      <c r="G38" s="13" t="s">
        <v>911</v>
      </c>
      <c r="H38" s="12" t="s">
        <v>11</v>
      </c>
      <c r="I38" s="13" t="s">
        <v>896</v>
      </c>
      <c r="J38" s="13" t="s">
        <v>912</v>
      </c>
    </row>
    <row r="39" spans="2:10" ht="35" customHeight="1" x14ac:dyDescent="0.2">
      <c r="B39" s="14">
        <v>30</v>
      </c>
      <c r="C39" s="42">
        <v>46066</v>
      </c>
      <c r="D39" s="15" t="s">
        <v>506</v>
      </c>
      <c r="E39" s="15" t="s">
        <v>507</v>
      </c>
      <c r="F39" s="16" t="s">
        <v>913</v>
      </c>
      <c r="G39" s="16" t="s">
        <v>914</v>
      </c>
      <c r="H39" s="15" t="s">
        <v>11</v>
      </c>
      <c r="I39" s="16" t="s">
        <v>896</v>
      </c>
      <c r="J39" s="16" t="s">
        <v>915</v>
      </c>
    </row>
    <row r="40" spans="2:10" ht="35" customHeight="1" x14ac:dyDescent="0.2">
      <c r="B40" s="11">
        <v>31</v>
      </c>
      <c r="C40" s="41">
        <v>46066</v>
      </c>
      <c r="D40" s="12" t="s">
        <v>506</v>
      </c>
      <c r="E40" s="12" t="s">
        <v>507</v>
      </c>
      <c r="F40" s="13" t="s">
        <v>916</v>
      </c>
      <c r="G40" s="13" t="s">
        <v>917</v>
      </c>
      <c r="H40" s="12" t="s">
        <v>11</v>
      </c>
      <c r="I40" s="13" t="s">
        <v>896</v>
      </c>
      <c r="J40" s="13" t="s">
        <v>918</v>
      </c>
    </row>
    <row r="41" spans="2:10" ht="35" customHeight="1" x14ac:dyDescent="0.2">
      <c r="B41" s="14">
        <v>32</v>
      </c>
      <c r="C41" s="42">
        <v>46066</v>
      </c>
      <c r="D41" s="15" t="s">
        <v>506</v>
      </c>
      <c r="E41" s="15" t="s">
        <v>507</v>
      </c>
      <c r="F41" s="16" t="s">
        <v>919</v>
      </c>
      <c r="G41" s="16" t="s">
        <v>920</v>
      </c>
      <c r="H41" s="15" t="s">
        <v>11</v>
      </c>
      <c r="I41" s="16" t="s">
        <v>896</v>
      </c>
      <c r="J41" s="16" t="s">
        <v>921</v>
      </c>
    </row>
    <row r="42" spans="2:10" ht="35" customHeight="1" x14ac:dyDescent="0.2">
      <c r="B42" s="11">
        <v>33</v>
      </c>
      <c r="C42" s="41">
        <v>46066</v>
      </c>
      <c r="D42" s="12" t="s">
        <v>506</v>
      </c>
      <c r="E42" s="12" t="s">
        <v>507</v>
      </c>
      <c r="F42" s="13" t="s">
        <v>922</v>
      </c>
      <c r="G42" s="13" t="s">
        <v>923</v>
      </c>
      <c r="H42" s="12" t="s">
        <v>11</v>
      </c>
      <c r="I42" s="13" t="s">
        <v>896</v>
      </c>
      <c r="J42" s="13" t="s">
        <v>924</v>
      </c>
    </row>
    <row r="43" spans="2:10" ht="35" customHeight="1" x14ac:dyDescent="0.2">
      <c r="B43" s="14">
        <v>34</v>
      </c>
      <c r="C43" s="42">
        <v>46066</v>
      </c>
      <c r="D43" s="15" t="s">
        <v>506</v>
      </c>
      <c r="E43" s="15" t="s">
        <v>507</v>
      </c>
      <c r="F43" s="16" t="s">
        <v>925</v>
      </c>
      <c r="G43" s="16" t="s">
        <v>926</v>
      </c>
      <c r="H43" s="15" t="s">
        <v>11</v>
      </c>
      <c r="I43" s="16" t="s">
        <v>896</v>
      </c>
      <c r="J43" s="16" t="s">
        <v>927</v>
      </c>
    </row>
    <row r="44" spans="2:10" ht="35" customHeight="1" x14ac:dyDescent="0.2">
      <c r="B44" s="11">
        <v>35</v>
      </c>
      <c r="C44" s="41">
        <v>46066</v>
      </c>
      <c r="D44" s="12" t="s">
        <v>506</v>
      </c>
      <c r="E44" s="12" t="s">
        <v>507</v>
      </c>
      <c r="F44" s="13" t="s">
        <v>930</v>
      </c>
      <c r="G44" s="13" t="s">
        <v>932</v>
      </c>
      <c r="H44" s="12" t="s">
        <v>11</v>
      </c>
      <c r="I44" s="13" t="s">
        <v>896</v>
      </c>
      <c r="J44" s="13" t="s">
        <v>933</v>
      </c>
    </row>
    <row r="45" spans="2:10" ht="35" customHeight="1" x14ac:dyDescent="0.2">
      <c r="B45" s="14">
        <v>36</v>
      </c>
      <c r="C45" s="42">
        <v>46066</v>
      </c>
      <c r="D45" s="15" t="s">
        <v>506</v>
      </c>
      <c r="E45" s="15" t="s">
        <v>507</v>
      </c>
      <c r="F45" s="16" t="s">
        <v>934</v>
      </c>
      <c r="G45" s="16" t="s">
        <v>935</v>
      </c>
      <c r="H45" s="15" t="s">
        <v>15</v>
      </c>
      <c r="I45" s="16" t="s">
        <v>936</v>
      </c>
      <c r="J45" s="16" t="s">
        <v>937</v>
      </c>
    </row>
    <row r="46" spans="2:10" ht="35" customHeight="1" x14ac:dyDescent="0.2">
      <c r="B46" s="11">
        <v>37</v>
      </c>
      <c r="C46" s="41">
        <v>46066</v>
      </c>
      <c r="D46" s="12" t="s">
        <v>506</v>
      </c>
      <c r="E46" s="12" t="s">
        <v>507</v>
      </c>
      <c r="F46" s="13" t="s">
        <v>971</v>
      </c>
      <c r="G46" s="13" t="s">
        <v>972</v>
      </c>
      <c r="H46" s="12" t="s">
        <v>11</v>
      </c>
      <c r="I46" s="13" t="s">
        <v>906</v>
      </c>
      <c r="J46" s="13" t="s">
        <v>973</v>
      </c>
    </row>
    <row r="47" spans="2:10" ht="35" customHeight="1" x14ac:dyDescent="0.2">
      <c r="B47" s="14">
        <v>38</v>
      </c>
      <c r="C47" s="42">
        <v>46066</v>
      </c>
      <c r="D47" s="15" t="s">
        <v>506</v>
      </c>
      <c r="E47" s="15" t="s">
        <v>507</v>
      </c>
      <c r="F47" s="16" t="s">
        <v>974</v>
      </c>
      <c r="G47" s="16" t="s">
        <v>975</v>
      </c>
      <c r="H47" s="15" t="s">
        <v>13</v>
      </c>
      <c r="I47" s="16" t="s">
        <v>976</v>
      </c>
      <c r="J47" s="16" t="s">
        <v>977</v>
      </c>
    </row>
    <row r="48" spans="2:10" ht="35" customHeight="1" x14ac:dyDescent="0.2">
      <c r="B48" s="11">
        <v>39</v>
      </c>
      <c r="C48" s="41">
        <v>46066</v>
      </c>
      <c r="D48" s="12" t="s">
        <v>506</v>
      </c>
      <c r="E48" s="12" t="s">
        <v>507</v>
      </c>
      <c r="F48" s="13" t="s">
        <v>1005</v>
      </c>
      <c r="G48" s="13" t="s">
        <v>1006</v>
      </c>
      <c r="H48" s="12" t="s">
        <v>11</v>
      </c>
      <c r="I48" s="13" t="s">
        <v>1007</v>
      </c>
      <c r="J48" s="13" t="s">
        <v>704</v>
      </c>
    </row>
    <row r="49" spans="2:10" ht="35" customHeight="1" x14ac:dyDescent="0.2">
      <c r="B49" s="14">
        <v>40</v>
      </c>
      <c r="C49" s="42">
        <v>46066</v>
      </c>
      <c r="D49" s="15" t="s">
        <v>506</v>
      </c>
      <c r="E49" s="15" t="s">
        <v>507</v>
      </c>
      <c r="F49" s="16" t="s">
        <v>1009</v>
      </c>
      <c r="G49" s="16" t="s">
        <v>1008</v>
      </c>
      <c r="H49" s="15" t="s">
        <v>15</v>
      </c>
      <c r="I49" s="16" t="s">
        <v>1010</v>
      </c>
      <c r="J49" s="16" t="s">
        <v>1011</v>
      </c>
    </row>
    <row r="50" spans="2:10" ht="35" customHeight="1" x14ac:dyDescent="0.2">
      <c r="B50" s="11">
        <v>41</v>
      </c>
      <c r="C50" s="41">
        <v>46066</v>
      </c>
      <c r="D50" s="12" t="s">
        <v>506</v>
      </c>
      <c r="E50" s="12" t="s">
        <v>507</v>
      </c>
      <c r="F50" s="13" t="s">
        <v>1012</v>
      </c>
      <c r="G50" s="13" t="s">
        <v>1013</v>
      </c>
      <c r="H50" s="12" t="s">
        <v>13</v>
      </c>
      <c r="I50" s="13" t="s">
        <v>1014</v>
      </c>
      <c r="J50" s="13" t="s">
        <v>1015</v>
      </c>
    </row>
    <row r="51" spans="2:10" ht="35" customHeight="1" x14ac:dyDescent="0.2">
      <c r="B51" s="14">
        <v>42</v>
      </c>
      <c r="C51" s="42">
        <v>46066</v>
      </c>
      <c r="D51" s="15" t="s">
        <v>506</v>
      </c>
      <c r="E51" s="15" t="s">
        <v>507</v>
      </c>
      <c r="F51" s="16" t="s">
        <v>1016</v>
      </c>
      <c r="G51" s="16" t="s">
        <v>1017</v>
      </c>
      <c r="H51" s="15" t="s">
        <v>11</v>
      </c>
      <c r="I51" s="16" t="s">
        <v>1019</v>
      </c>
      <c r="J51" s="16" t="s">
        <v>1021</v>
      </c>
    </row>
    <row r="52" spans="2:10" ht="35" customHeight="1" x14ac:dyDescent="0.2">
      <c r="B52" s="11">
        <v>43</v>
      </c>
      <c r="C52" s="41">
        <v>46066</v>
      </c>
      <c r="D52" s="12" t="s">
        <v>506</v>
      </c>
      <c r="E52" s="12" t="s">
        <v>507</v>
      </c>
      <c r="F52" s="13" t="s">
        <v>1024</v>
      </c>
      <c r="G52" s="13" t="s">
        <v>1026</v>
      </c>
      <c r="H52" s="12" t="s">
        <v>15</v>
      </c>
      <c r="I52" s="13" t="s">
        <v>1027</v>
      </c>
      <c r="J52" s="13" t="s">
        <v>1028</v>
      </c>
    </row>
    <row r="53" spans="2:10" ht="35" customHeight="1" x14ac:dyDescent="0.2">
      <c r="B53" s="14">
        <v>44</v>
      </c>
      <c r="C53" s="42">
        <v>46066</v>
      </c>
      <c r="D53" s="15" t="s">
        <v>506</v>
      </c>
      <c r="E53" s="15" t="s">
        <v>507</v>
      </c>
      <c r="F53" s="16" t="s">
        <v>1031</v>
      </c>
      <c r="G53" s="16" t="s">
        <v>1032</v>
      </c>
      <c r="H53" s="15" t="s">
        <v>15</v>
      </c>
      <c r="I53" s="16" t="s">
        <v>1033</v>
      </c>
      <c r="J53" s="16" t="s">
        <v>1035</v>
      </c>
    </row>
    <row r="54" spans="2:10" ht="35" customHeight="1" x14ac:dyDescent="0.2">
      <c r="B54" s="11">
        <v>45</v>
      </c>
      <c r="C54" s="41">
        <v>46066</v>
      </c>
      <c r="D54" s="12" t="s">
        <v>506</v>
      </c>
      <c r="E54" s="12" t="s">
        <v>507</v>
      </c>
      <c r="F54" s="13" t="s">
        <v>1038</v>
      </c>
      <c r="G54" s="13" t="s">
        <v>1039</v>
      </c>
      <c r="H54" s="12" t="s">
        <v>13</v>
      </c>
      <c r="I54" s="13" t="s">
        <v>1040</v>
      </c>
      <c r="J54" s="13" t="s">
        <v>1041</v>
      </c>
    </row>
    <row r="55" spans="2:10" ht="35" customHeight="1" x14ac:dyDescent="0.2">
      <c r="B55" s="14">
        <v>46</v>
      </c>
      <c r="C55" s="42">
        <v>46066</v>
      </c>
      <c r="D55" s="15" t="s">
        <v>506</v>
      </c>
      <c r="E55" s="15" t="s">
        <v>507</v>
      </c>
      <c r="F55" s="16" t="s">
        <v>1042</v>
      </c>
      <c r="G55" s="16" t="s">
        <v>1043</v>
      </c>
      <c r="H55" s="15" t="s">
        <v>11</v>
      </c>
      <c r="I55" s="16" t="s">
        <v>1044</v>
      </c>
      <c r="J55" s="16" t="s">
        <v>1045</v>
      </c>
    </row>
    <row r="56" spans="2:10" ht="35" customHeight="1" x14ac:dyDescent="0.2">
      <c r="B56" s="11">
        <v>47</v>
      </c>
      <c r="C56" s="41">
        <v>46066</v>
      </c>
      <c r="D56" s="12" t="s">
        <v>506</v>
      </c>
      <c r="E56" s="12" t="s">
        <v>507</v>
      </c>
      <c r="F56" s="13" t="s">
        <v>1046</v>
      </c>
      <c r="G56" s="13" t="s">
        <v>1047</v>
      </c>
      <c r="H56" s="12" t="s">
        <v>13</v>
      </c>
      <c r="I56" s="13" t="s">
        <v>1049</v>
      </c>
      <c r="J56" s="13" t="s">
        <v>1048</v>
      </c>
    </row>
    <row r="57" spans="2:10" ht="35" customHeight="1" x14ac:dyDescent="0.2">
      <c r="B57" s="14">
        <v>48</v>
      </c>
      <c r="C57" s="42">
        <v>46066</v>
      </c>
      <c r="D57" s="15" t="s">
        <v>506</v>
      </c>
      <c r="E57" s="15" t="s">
        <v>507</v>
      </c>
      <c r="F57" s="16" t="s">
        <v>1050</v>
      </c>
      <c r="G57" s="16" t="s">
        <v>1051</v>
      </c>
      <c r="H57" s="15" t="s">
        <v>11</v>
      </c>
      <c r="I57" s="16" t="s">
        <v>1052</v>
      </c>
      <c r="J57" s="16" t="s">
        <v>1053</v>
      </c>
    </row>
    <row r="58" spans="2:10" ht="35" customHeight="1" x14ac:dyDescent="0.2">
      <c r="B58" s="11">
        <v>49</v>
      </c>
      <c r="C58" s="41">
        <v>46066</v>
      </c>
      <c r="D58" s="12" t="s">
        <v>506</v>
      </c>
      <c r="E58" s="12" t="s">
        <v>507</v>
      </c>
      <c r="F58" s="13" t="s">
        <v>1054</v>
      </c>
      <c r="G58" s="13" t="s">
        <v>1055</v>
      </c>
      <c r="H58" s="12" t="s">
        <v>11</v>
      </c>
      <c r="I58" s="13" t="s">
        <v>896</v>
      </c>
      <c r="J58" s="13" t="s">
        <v>1056</v>
      </c>
    </row>
    <row r="59" spans="2:10" ht="35" customHeight="1" x14ac:dyDescent="0.2">
      <c r="B59" s="14">
        <v>50</v>
      </c>
      <c r="C59" s="42">
        <v>46066</v>
      </c>
      <c r="D59" s="15" t="s">
        <v>506</v>
      </c>
      <c r="E59" s="15" t="s">
        <v>507</v>
      </c>
      <c r="F59" s="16" t="s">
        <v>1057</v>
      </c>
      <c r="G59" s="16" t="s">
        <v>1058</v>
      </c>
      <c r="H59" s="15" t="s">
        <v>15</v>
      </c>
      <c r="I59" s="16" t="s">
        <v>1059</v>
      </c>
      <c r="J59" s="16" t="s">
        <v>1060</v>
      </c>
    </row>
    <row r="61" spans="2:10" x14ac:dyDescent="0.2">
      <c r="B61" s="17" t="s">
        <v>39</v>
      </c>
    </row>
    <row r="62" spans="2:10" x14ac:dyDescent="0.2">
      <c r="B62" s="18" t="s">
        <v>40</v>
      </c>
      <c r="C62" s="6">
        <f>COUNTA(H10:H59)</f>
        <v>50</v>
      </c>
    </row>
    <row r="63" spans="2:10" x14ac:dyDescent="0.2">
      <c r="B63" s="18" t="s">
        <v>41</v>
      </c>
      <c r="C63" s="19">
        <f>COUNTIF(H10:H59,"PASS")</f>
        <v>25</v>
      </c>
    </row>
    <row r="64" spans="2:10" x14ac:dyDescent="0.2">
      <c r="B64" s="18" t="s">
        <v>42</v>
      </c>
      <c r="C64" s="20">
        <f>COUNTIF(H10:H59,"PARTIAL FAIL")</f>
        <v>15</v>
      </c>
    </row>
    <row r="65" spans="2:10" x14ac:dyDescent="0.2">
      <c r="B65" s="18" t="s">
        <v>43</v>
      </c>
      <c r="C65" s="21">
        <f>COUNTIF(H10:H59,"FAIL")</f>
        <v>10</v>
      </c>
    </row>
    <row r="68" spans="2:10" ht="16" x14ac:dyDescent="0.25">
      <c r="B68" s="58" t="s">
        <v>44</v>
      </c>
      <c r="C68" s="59"/>
      <c r="D68" s="59"/>
      <c r="E68" s="59"/>
      <c r="F68" s="59"/>
      <c r="G68" s="59"/>
      <c r="H68" s="59"/>
      <c r="I68" s="59"/>
      <c r="J68" s="60"/>
    </row>
    <row r="69" spans="2:10" x14ac:dyDescent="0.2">
      <c r="B69" s="55" t="s">
        <v>45</v>
      </c>
      <c r="C69" s="56"/>
      <c r="D69" s="56"/>
      <c r="E69" s="56"/>
      <c r="F69" s="56"/>
      <c r="G69" s="56"/>
      <c r="H69" s="56"/>
      <c r="I69" s="56"/>
      <c r="J69" s="56"/>
    </row>
    <row r="70" spans="2:10" x14ac:dyDescent="0.2">
      <c r="B70" s="57" t="s">
        <v>46</v>
      </c>
      <c r="C70" s="56"/>
      <c r="D70" s="56"/>
      <c r="E70" s="56"/>
      <c r="F70" s="56"/>
      <c r="G70" s="56"/>
      <c r="H70" s="56"/>
      <c r="I70" s="56"/>
      <c r="J70" s="56"/>
    </row>
    <row r="72" spans="2:10" x14ac:dyDescent="0.2">
      <c r="B72" s="10" t="s">
        <v>30</v>
      </c>
      <c r="C72" s="10" t="s">
        <v>31</v>
      </c>
      <c r="D72" s="10" t="s">
        <v>32</v>
      </c>
      <c r="E72" s="10" t="s">
        <v>47</v>
      </c>
      <c r="F72" s="10" t="s">
        <v>48</v>
      </c>
      <c r="G72" s="10" t="s">
        <v>49</v>
      </c>
      <c r="H72" s="10" t="s">
        <v>36</v>
      </c>
      <c r="I72" s="10" t="s">
        <v>37</v>
      </c>
      <c r="J72" s="10" t="s">
        <v>50</v>
      </c>
    </row>
    <row r="73" spans="2:10" ht="35" customHeight="1" x14ac:dyDescent="0.2">
      <c r="B73" s="11">
        <v>1</v>
      </c>
      <c r="C73" s="41">
        <v>46059</v>
      </c>
      <c r="D73" s="12" t="s">
        <v>506</v>
      </c>
      <c r="E73" s="12" t="s">
        <v>720</v>
      </c>
      <c r="F73" s="13" t="s">
        <v>721</v>
      </c>
      <c r="G73" s="13">
        <v>60</v>
      </c>
      <c r="H73" s="12" t="s">
        <v>13</v>
      </c>
      <c r="I73" s="13" t="s">
        <v>722</v>
      </c>
      <c r="J73" s="13" t="s">
        <v>723</v>
      </c>
    </row>
    <row r="74" spans="2:10" ht="35" customHeight="1" x14ac:dyDescent="0.2">
      <c r="B74" s="14">
        <v>2</v>
      </c>
      <c r="C74" s="42">
        <v>46065</v>
      </c>
      <c r="D74" s="15" t="s">
        <v>506</v>
      </c>
      <c r="E74" s="15" t="s">
        <v>720</v>
      </c>
      <c r="F74" s="16" t="s">
        <v>724</v>
      </c>
      <c r="G74" s="16">
        <v>54</v>
      </c>
      <c r="H74" s="15" t="s">
        <v>13</v>
      </c>
      <c r="I74" s="16" t="s">
        <v>725</v>
      </c>
      <c r="J74" s="16" t="s">
        <v>723</v>
      </c>
    </row>
    <row r="75" spans="2:10" ht="35" customHeight="1" x14ac:dyDescent="0.2">
      <c r="B75" s="11">
        <v>3</v>
      </c>
      <c r="C75" s="41">
        <v>46065</v>
      </c>
      <c r="D75" s="12" t="s">
        <v>506</v>
      </c>
      <c r="E75" s="12" t="s">
        <v>726</v>
      </c>
      <c r="F75" s="13" t="s">
        <v>727</v>
      </c>
      <c r="G75" s="13">
        <v>42</v>
      </c>
      <c r="H75" s="12" t="s">
        <v>11</v>
      </c>
      <c r="I75" s="13" t="s">
        <v>728</v>
      </c>
      <c r="J75" s="13" t="s">
        <v>729</v>
      </c>
    </row>
    <row r="76" spans="2:10" ht="35" customHeight="1" x14ac:dyDescent="0.2">
      <c r="B76" s="14">
        <v>4</v>
      </c>
      <c r="C76" s="42">
        <v>46065</v>
      </c>
      <c r="D76" s="15" t="s">
        <v>506</v>
      </c>
      <c r="E76" s="15" t="s">
        <v>730</v>
      </c>
      <c r="F76" s="16">
        <v>1742</v>
      </c>
      <c r="G76" s="16">
        <v>42</v>
      </c>
      <c r="H76" s="15" t="s">
        <v>15</v>
      </c>
      <c r="I76" s="16" t="s">
        <v>731</v>
      </c>
      <c r="J76" s="16" t="s">
        <v>732</v>
      </c>
    </row>
    <row r="77" spans="2:10" ht="35" customHeight="1" x14ac:dyDescent="0.2">
      <c r="B77" s="11">
        <v>5</v>
      </c>
      <c r="C77" s="41">
        <v>46065</v>
      </c>
      <c r="D77" s="12" t="s">
        <v>506</v>
      </c>
      <c r="E77" s="12" t="s">
        <v>733</v>
      </c>
      <c r="F77" s="13" t="s">
        <v>734</v>
      </c>
      <c r="G77" s="13">
        <v>52</v>
      </c>
      <c r="H77" s="12" t="s">
        <v>13</v>
      </c>
      <c r="I77" s="13" t="s">
        <v>735</v>
      </c>
      <c r="J77" s="13" t="s">
        <v>723</v>
      </c>
    </row>
    <row r="78" spans="2:10" ht="35" customHeight="1" x14ac:dyDescent="0.2">
      <c r="B78" s="14">
        <v>6</v>
      </c>
      <c r="C78" s="42">
        <v>46065</v>
      </c>
      <c r="D78" s="15" t="s">
        <v>506</v>
      </c>
      <c r="E78" s="15" t="s">
        <v>736</v>
      </c>
      <c r="F78" s="16" t="s">
        <v>733</v>
      </c>
      <c r="G78" s="16">
        <v>61</v>
      </c>
      <c r="H78" s="15" t="s">
        <v>13</v>
      </c>
      <c r="I78" s="16" t="s">
        <v>737</v>
      </c>
      <c r="J78" s="16" t="s">
        <v>723</v>
      </c>
    </row>
    <row r="79" spans="2:10" ht="35" customHeight="1" x14ac:dyDescent="0.2">
      <c r="B79" s="11">
        <v>7</v>
      </c>
      <c r="C79" s="41">
        <v>46065</v>
      </c>
      <c r="D79" s="12" t="s">
        <v>506</v>
      </c>
      <c r="E79" s="12" t="s">
        <v>736</v>
      </c>
      <c r="F79" s="13" t="s">
        <v>738</v>
      </c>
      <c r="G79" s="13">
        <v>61</v>
      </c>
      <c r="H79" s="12" t="s">
        <v>13</v>
      </c>
      <c r="I79" s="13" t="s">
        <v>737</v>
      </c>
      <c r="J79" s="13" t="s">
        <v>723</v>
      </c>
    </row>
    <row r="80" spans="2:10" ht="35" customHeight="1" x14ac:dyDescent="0.2">
      <c r="B80" s="14">
        <v>8</v>
      </c>
      <c r="C80" s="42">
        <v>46065</v>
      </c>
      <c r="D80" s="15" t="s">
        <v>506</v>
      </c>
      <c r="E80" s="15" t="s">
        <v>739</v>
      </c>
      <c r="F80" s="16">
        <v>1015</v>
      </c>
      <c r="G80" s="16">
        <v>32</v>
      </c>
      <c r="H80" s="15" t="s">
        <v>13</v>
      </c>
      <c r="I80" s="16" t="s">
        <v>737</v>
      </c>
      <c r="J80" s="16" t="s">
        <v>723</v>
      </c>
    </row>
    <row r="81" spans="2:10" ht="35" customHeight="1" x14ac:dyDescent="0.2">
      <c r="B81" s="11">
        <v>9</v>
      </c>
      <c r="C81" s="41">
        <v>46065</v>
      </c>
      <c r="D81" s="12" t="s">
        <v>506</v>
      </c>
      <c r="E81" s="12" t="s">
        <v>739</v>
      </c>
      <c r="F81" s="13" t="s">
        <v>740</v>
      </c>
      <c r="G81" s="13">
        <v>42</v>
      </c>
      <c r="H81" s="12" t="s">
        <v>13</v>
      </c>
      <c r="I81" s="13" t="s">
        <v>737</v>
      </c>
      <c r="J81" s="13" t="s">
        <v>723</v>
      </c>
    </row>
    <row r="82" spans="2:10" ht="35" customHeight="1" x14ac:dyDescent="0.2">
      <c r="B82" s="14">
        <v>10</v>
      </c>
      <c r="C82" s="42">
        <v>46065</v>
      </c>
      <c r="D82" s="15" t="s">
        <v>506</v>
      </c>
      <c r="E82" s="15" t="s">
        <v>739</v>
      </c>
      <c r="F82" s="16">
        <v>1250</v>
      </c>
      <c r="G82" s="16">
        <v>50</v>
      </c>
      <c r="H82" s="15" t="s">
        <v>13</v>
      </c>
      <c r="I82" s="16" t="s">
        <v>737</v>
      </c>
      <c r="J82" s="16" t="s">
        <v>723</v>
      </c>
    </row>
    <row r="83" spans="2:10" ht="35" customHeight="1" x14ac:dyDescent="0.2">
      <c r="B83" s="11">
        <v>11</v>
      </c>
      <c r="C83" s="41">
        <v>46065</v>
      </c>
      <c r="D83" s="12" t="s">
        <v>506</v>
      </c>
      <c r="E83" s="12" t="s">
        <v>742</v>
      </c>
      <c r="F83" s="13">
        <v>3014</v>
      </c>
      <c r="G83" s="13">
        <v>36</v>
      </c>
      <c r="H83" s="12" t="s">
        <v>13</v>
      </c>
      <c r="I83" s="13" t="s">
        <v>737</v>
      </c>
      <c r="J83" s="13" t="s">
        <v>723</v>
      </c>
    </row>
    <row r="84" spans="2:10" ht="35" customHeight="1" x14ac:dyDescent="0.2">
      <c r="B84" s="14">
        <v>12</v>
      </c>
      <c r="C84" s="42">
        <v>46065</v>
      </c>
      <c r="D84" s="15" t="s">
        <v>506</v>
      </c>
      <c r="E84" s="15" t="s">
        <v>720</v>
      </c>
      <c r="F84" s="16">
        <v>116</v>
      </c>
      <c r="G84" s="16">
        <v>46</v>
      </c>
      <c r="H84" s="15" t="s">
        <v>13</v>
      </c>
      <c r="I84" s="16" t="s">
        <v>737</v>
      </c>
      <c r="J84" s="16" t="s">
        <v>723</v>
      </c>
    </row>
    <row r="85" spans="2:10" ht="35" customHeight="1" x14ac:dyDescent="0.2">
      <c r="B85" s="11">
        <v>13</v>
      </c>
      <c r="C85" s="41">
        <v>46065</v>
      </c>
      <c r="D85" s="12" t="s">
        <v>506</v>
      </c>
      <c r="E85" s="12" t="s">
        <v>720</v>
      </c>
      <c r="F85" s="13">
        <v>120</v>
      </c>
      <c r="G85" s="13">
        <v>48</v>
      </c>
      <c r="H85" s="12" t="s">
        <v>13</v>
      </c>
      <c r="I85" s="13" t="s">
        <v>737</v>
      </c>
      <c r="J85" s="13" t="s">
        <v>723</v>
      </c>
    </row>
    <row r="86" spans="2:10" ht="35" customHeight="1" x14ac:dyDescent="0.2">
      <c r="B86" s="14">
        <v>14</v>
      </c>
      <c r="C86" s="42">
        <v>46065</v>
      </c>
      <c r="D86" s="15" t="s">
        <v>506</v>
      </c>
      <c r="E86" s="15" t="s">
        <v>720</v>
      </c>
      <c r="F86" s="16">
        <v>130</v>
      </c>
      <c r="G86" s="16">
        <v>30</v>
      </c>
      <c r="H86" s="15" t="s">
        <v>13</v>
      </c>
      <c r="I86" s="16" t="s">
        <v>737</v>
      </c>
      <c r="J86" s="16" t="s">
        <v>723</v>
      </c>
    </row>
    <row r="87" spans="2:10" ht="35" customHeight="1" x14ac:dyDescent="0.2">
      <c r="B87" s="11">
        <v>15</v>
      </c>
      <c r="C87" s="41">
        <v>46065</v>
      </c>
      <c r="D87" s="12" t="s">
        <v>506</v>
      </c>
      <c r="E87" s="12" t="s">
        <v>743</v>
      </c>
      <c r="F87" s="13">
        <v>107.28006000000001</v>
      </c>
      <c r="G87" s="13">
        <v>42</v>
      </c>
      <c r="H87" s="12" t="s">
        <v>13</v>
      </c>
      <c r="I87" s="13" t="s">
        <v>737</v>
      </c>
      <c r="J87" s="13" t="s">
        <v>723</v>
      </c>
    </row>
    <row r="88" spans="2:10" ht="35" customHeight="1" x14ac:dyDescent="0.2">
      <c r="B88" s="14">
        <v>16</v>
      </c>
      <c r="C88" s="42">
        <v>46065</v>
      </c>
      <c r="D88" s="15" t="s">
        <v>506</v>
      </c>
      <c r="E88" s="15" t="s">
        <v>743</v>
      </c>
      <c r="F88" s="16">
        <v>127.28876</v>
      </c>
      <c r="G88" s="16">
        <v>42</v>
      </c>
      <c r="H88" s="15" t="s">
        <v>13</v>
      </c>
      <c r="I88" s="16" t="s">
        <v>737</v>
      </c>
      <c r="J88" s="16" t="s">
        <v>723</v>
      </c>
    </row>
    <row r="89" spans="2:10" ht="35" customHeight="1" x14ac:dyDescent="0.2">
      <c r="B89" s="11">
        <v>17</v>
      </c>
      <c r="C89" s="41">
        <v>46065</v>
      </c>
      <c r="D89" s="12" t="s">
        <v>506</v>
      </c>
      <c r="E89" s="12" t="s">
        <v>744</v>
      </c>
      <c r="F89" s="13" t="s">
        <v>745</v>
      </c>
      <c r="G89" s="13">
        <v>54</v>
      </c>
      <c r="H89" s="12" t="s">
        <v>13</v>
      </c>
      <c r="I89" s="13" t="s">
        <v>737</v>
      </c>
      <c r="J89" s="13" t="s">
        <v>723</v>
      </c>
    </row>
    <row r="90" spans="2:10" ht="35" customHeight="1" x14ac:dyDescent="0.2">
      <c r="B90" s="14">
        <v>18</v>
      </c>
      <c r="C90" s="42">
        <v>46065</v>
      </c>
      <c r="D90" s="15" t="s">
        <v>506</v>
      </c>
      <c r="E90" s="15" t="s">
        <v>746</v>
      </c>
      <c r="F90" s="16" t="s">
        <v>747</v>
      </c>
      <c r="G90" s="16">
        <v>49</v>
      </c>
      <c r="H90" s="15" t="s">
        <v>13</v>
      </c>
      <c r="I90" s="16" t="s">
        <v>737</v>
      </c>
      <c r="J90" s="16" t="s">
        <v>723</v>
      </c>
    </row>
    <row r="91" spans="2:10" ht="35" customHeight="1" x14ac:dyDescent="0.2">
      <c r="B91" s="11">
        <v>19</v>
      </c>
      <c r="C91" s="41">
        <v>46065</v>
      </c>
      <c r="D91" s="12" t="s">
        <v>506</v>
      </c>
      <c r="E91" s="12" t="s">
        <v>748</v>
      </c>
      <c r="F91" s="13" t="s">
        <v>749</v>
      </c>
      <c r="G91" s="13">
        <v>48</v>
      </c>
      <c r="H91" s="12" t="s">
        <v>13</v>
      </c>
      <c r="I91" s="13" t="s">
        <v>737</v>
      </c>
      <c r="J91" s="13" t="s">
        <v>723</v>
      </c>
    </row>
    <row r="92" spans="2:10" ht="35" customHeight="1" x14ac:dyDescent="0.2">
      <c r="B92" s="14">
        <v>20</v>
      </c>
      <c r="C92" s="42">
        <v>46065</v>
      </c>
      <c r="D92" s="15" t="s">
        <v>506</v>
      </c>
      <c r="E92" s="15" t="s">
        <v>748</v>
      </c>
      <c r="F92" s="16" t="s">
        <v>750</v>
      </c>
      <c r="G92" s="16">
        <v>54</v>
      </c>
      <c r="H92" s="15" t="s">
        <v>13</v>
      </c>
      <c r="I92" s="16" t="s">
        <v>737</v>
      </c>
      <c r="J92" s="16" t="s">
        <v>723</v>
      </c>
    </row>
    <row r="93" spans="2:10" ht="35" customHeight="1" x14ac:dyDescent="0.2">
      <c r="B93" s="11">
        <v>21</v>
      </c>
      <c r="C93" s="41">
        <v>46065</v>
      </c>
      <c r="D93" s="12" t="s">
        <v>506</v>
      </c>
      <c r="E93" s="12" t="s">
        <v>751</v>
      </c>
      <c r="F93" s="13" t="s">
        <v>752</v>
      </c>
      <c r="G93" s="13">
        <v>42</v>
      </c>
      <c r="H93" s="12" t="s">
        <v>13</v>
      </c>
      <c r="I93" s="13" t="s">
        <v>737</v>
      </c>
      <c r="J93" s="13" t="s">
        <v>723</v>
      </c>
    </row>
    <row r="94" spans="2:10" ht="35" customHeight="1" x14ac:dyDescent="0.2">
      <c r="B94" s="14">
        <v>22</v>
      </c>
      <c r="C94" s="42">
        <v>46065</v>
      </c>
      <c r="D94" s="15" t="s">
        <v>506</v>
      </c>
      <c r="E94" s="15" t="s">
        <v>753</v>
      </c>
      <c r="F94" s="16" t="s">
        <v>754</v>
      </c>
      <c r="G94" s="16">
        <v>42</v>
      </c>
      <c r="H94" s="15" t="s">
        <v>11</v>
      </c>
      <c r="I94" s="16" t="s">
        <v>755</v>
      </c>
      <c r="J94" s="16" t="s">
        <v>723</v>
      </c>
    </row>
    <row r="95" spans="2:10" ht="35" customHeight="1" x14ac:dyDescent="0.2">
      <c r="B95" s="11">
        <v>23</v>
      </c>
      <c r="C95" s="41">
        <v>46065</v>
      </c>
      <c r="D95" s="12" t="s">
        <v>506</v>
      </c>
      <c r="E95" s="12" t="s">
        <v>756</v>
      </c>
      <c r="F95" s="13">
        <v>74054</v>
      </c>
      <c r="G95" s="13">
        <v>60</v>
      </c>
      <c r="H95" s="12" t="s">
        <v>13</v>
      </c>
      <c r="I95" s="13" t="s">
        <v>737</v>
      </c>
      <c r="J95" s="13" t="s">
        <v>723</v>
      </c>
    </row>
    <row r="96" spans="2:10" ht="35" customHeight="1" x14ac:dyDescent="0.2">
      <c r="B96" s="14">
        <v>24</v>
      </c>
      <c r="C96" s="42">
        <v>46065</v>
      </c>
      <c r="D96" s="15" t="s">
        <v>506</v>
      </c>
      <c r="E96" s="15" t="s">
        <v>757</v>
      </c>
      <c r="F96" s="16">
        <v>930545</v>
      </c>
      <c r="G96" s="16">
        <v>60</v>
      </c>
      <c r="H96" s="15" t="s">
        <v>13</v>
      </c>
      <c r="I96" s="16" t="s">
        <v>737</v>
      </c>
      <c r="J96" s="16" t="s">
        <v>723</v>
      </c>
    </row>
    <row r="97" spans="2:10" ht="35" customHeight="1" x14ac:dyDescent="0.2">
      <c r="B97" s="11">
        <v>25</v>
      </c>
      <c r="C97" s="41">
        <v>46065</v>
      </c>
      <c r="D97" s="12" t="s">
        <v>506</v>
      </c>
      <c r="E97" s="12" t="s">
        <v>758</v>
      </c>
      <c r="F97" s="13" t="s">
        <v>759</v>
      </c>
      <c r="G97" s="13">
        <v>60</v>
      </c>
      <c r="H97" s="12" t="s">
        <v>13</v>
      </c>
      <c r="I97" s="13" t="s">
        <v>737</v>
      </c>
      <c r="J97" s="13" t="s">
        <v>723</v>
      </c>
    </row>
    <row r="98" spans="2:10" ht="35" customHeight="1" x14ac:dyDescent="0.2">
      <c r="B98" s="14">
        <v>26</v>
      </c>
      <c r="C98" s="42">
        <v>46065</v>
      </c>
      <c r="D98" s="15" t="s">
        <v>506</v>
      </c>
      <c r="E98" s="15" t="s">
        <v>760</v>
      </c>
      <c r="F98" s="16" t="s">
        <v>761</v>
      </c>
      <c r="G98" s="16">
        <v>42</v>
      </c>
      <c r="H98" s="15" t="s">
        <v>13</v>
      </c>
      <c r="I98" s="16" t="s">
        <v>737</v>
      </c>
      <c r="J98" s="16" t="s">
        <v>723</v>
      </c>
    </row>
    <row r="99" spans="2:10" ht="35" customHeight="1" x14ac:dyDescent="0.2">
      <c r="B99" s="11">
        <v>27</v>
      </c>
      <c r="C99" s="41">
        <v>46065</v>
      </c>
      <c r="D99" s="12" t="s">
        <v>506</v>
      </c>
      <c r="E99" s="12" t="s">
        <v>760</v>
      </c>
      <c r="F99" s="13" t="s">
        <v>762</v>
      </c>
      <c r="G99" s="13">
        <v>42</v>
      </c>
      <c r="H99" s="12" t="s">
        <v>13</v>
      </c>
      <c r="I99" s="13" t="s">
        <v>737</v>
      </c>
      <c r="J99" s="13" t="s">
        <v>723</v>
      </c>
    </row>
    <row r="100" spans="2:10" ht="35" customHeight="1" x14ac:dyDescent="0.2">
      <c r="B100" s="14">
        <v>28</v>
      </c>
      <c r="C100" s="42">
        <v>46065</v>
      </c>
      <c r="D100" s="15" t="s">
        <v>506</v>
      </c>
      <c r="E100" s="15" t="s">
        <v>730</v>
      </c>
      <c r="F100" s="16">
        <v>936060</v>
      </c>
      <c r="G100" s="16">
        <v>42</v>
      </c>
      <c r="H100" s="15" t="s">
        <v>13</v>
      </c>
      <c r="I100" s="16" t="s">
        <v>737</v>
      </c>
      <c r="J100" s="16" t="s">
        <v>723</v>
      </c>
    </row>
    <row r="101" spans="2:10" ht="35" customHeight="1" x14ac:dyDescent="0.2">
      <c r="B101" s="11">
        <v>29</v>
      </c>
      <c r="C101" s="41">
        <v>46065</v>
      </c>
      <c r="D101" s="12" t="s">
        <v>506</v>
      </c>
      <c r="E101" s="12" t="s">
        <v>730</v>
      </c>
      <c r="F101" s="13">
        <v>936068</v>
      </c>
      <c r="G101" s="13">
        <v>54</v>
      </c>
      <c r="H101" s="12" t="s">
        <v>13</v>
      </c>
      <c r="I101" s="13" t="s">
        <v>737</v>
      </c>
      <c r="J101" s="13" t="s">
        <v>723</v>
      </c>
    </row>
    <row r="102" spans="2:10" ht="35" customHeight="1" x14ac:dyDescent="0.2">
      <c r="B102" s="14">
        <v>30</v>
      </c>
      <c r="C102" s="42">
        <v>46065</v>
      </c>
      <c r="D102" s="15" t="s">
        <v>506</v>
      </c>
      <c r="E102" s="15" t="s">
        <v>730</v>
      </c>
      <c r="F102" s="16">
        <v>936095</v>
      </c>
      <c r="G102" s="16">
        <v>46</v>
      </c>
      <c r="H102" s="15" t="s">
        <v>13</v>
      </c>
      <c r="I102" s="16" t="s">
        <v>737</v>
      </c>
      <c r="J102" s="16" t="s">
        <v>723</v>
      </c>
    </row>
    <row r="103" spans="2:10" ht="35" customHeight="1" x14ac:dyDescent="0.2">
      <c r="B103" s="11">
        <v>31</v>
      </c>
      <c r="C103" s="42">
        <v>46065</v>
      </c>
      <c r="D103" s="12" t="s">
        <v>506</v>
      </c>
      <c r="E103" s="12" t="s">
        <v>763</v>
      </c>
      <c r="F103" s="13" t="s">
        <v>764</v>
      </c>
      <c r="G103" s="13" t="s">
        <v>765</v>
      </c>
      <c r="H103" s="12" t="s">
        <v>13</v>
      </c>
      <c r="I103" s="13" t="s">
        <v>737</v>
      </c>
      <c r="J103" s="13" t="s">
        <v>723</v>
      </c>
    </row>
    <row r="104" spans="2:10" ht="35" customHeight="1" x14ac:dyDescent="0.2">
      <c r="B104" s="14">
        <v>32</v>
      </c>
      <c r="C104" s="42">
        <v>46065</v>
      </c>
      <c r="D104" s="15" t="s">
        <v>506</v>
      </c>
      <c r="E104" s="15" t="s">
        <v>766</v>
      </c>
      <c r="F104" s="16" t="s">
        <v>767</v>
      </c>
      <c r="G104" s="16">
        <v>54</v>
      </c>
      <c r="H104" s="15" t="s">
        <v>13</v>
      </c>
      <c r="I104" s="16" t="s">
        <v>737</v>
      </c>
      <c r="J104" s="16" t="s">
        <v>723</v>
      </c>
    </row>
    <row r="105" spans="2:10" ht="35" customHeight="1" x14ac:dyDescent="0.2">
      <c r="B105" s="11">
        <v>33</v>
      </c>
      <c r="C105" s="42">
        <v>46065</v>
      </c>
      <c r="D105" s="12" t="s">
        <v>506</v>
      </c>
      <c r="E105" s="12" t="s">
        <v>766</v>
      </c>
      <c r="F105" s="13" t="s">
        <v>768</v>
      </c>
      <c r="G105" s="13">
        <v>42</v>
      </c>
      <c r="H105" s="12" t="s">
        <v>13</v>
      </c>
      <c r="I105" s="13" t="s">
        <v>737</v>
      </c>
      <c r="J105" s="13" t="s">
        <v>723</v>
      </c>
    </row>
    <row r="106" spans="2:10" ht="35" customHeight="1" x14ac:dyDescent="0.2">
      <c r="B106" s="14">
        <v>34</v>
      </c>
      <c r="C106" s="42">
        <v>46065</v>
      </c>
      <c r="D106" s="15" t="s">
        <v>506</v>
      </c>
      <c r="E106" s="15" t="s">
        <v>769</v>
      </c>
      <c r="F106" s="16" t="s">
        <v>770</v>
      </c>
      <c r="G106" s="16">
        <v>42</v>
      </c>
      <c r="H106" s="15" t="s">
        <v>13</v>
      </c>
      <c r="I106" s="16" t="s">
        <v>737</v>
      </c>
      <c r="J106" s="16" t="s">
        <v>723</v>
      </c>
    </row>
    <row r="107" spans="2:10" ht="35" customHeight="1" x14ac:dyDescent="0.2">
      <c r="B107" s="11">
        <v>35</v>
      </c>
      <c r="C107" s="42">
        <v>46065</v>
      </c>
      <c r="D107" s="12" t="s">
        <v>506</v>
      </c>
      <c r="E107" s="12" t="s">
        <v>771</v>
      </c>
      <c r="F107" s="13">
        <v>836</v>
      </c>
      <c r="G107" s="13">
        <v>36</v>
      </c>
      <c r="H107" s="12" t="s">
        <v>13</v>
      </c>
      <c r="I107" s="13" t="s">
        <v>737</v>
      </c>
      <c r="J107" s="13" t="s">
        <v>723</v>
      </c>
    </row>
    <row r="108" spans="2:10" ht="35" customHeight="1" x14ac:dyDescent="0.2">
      <c r="B108" s="14">
        <v>36</v>
      </c>
      <c r="C108" s="42">
        <v>46065</v>
      </c>
      <c r="D108" s="15" t="s">
        <v>506</v>
      </c>
      <c r="E108" s="15" t="s">
        <v>733</v>
      </c>
      <c r="F108" s="16" t="s">
        <v>772</v>
      </c>
      <c r="G108" s="16">
        <v>36</v>
      </c>
      <c r="H108" s="15" t="s">
        <v>13</v>
      </c>
      <c r="I108" s="16" t="s">
        <v>737</v>
      </c>
      <c r="J108" s="16" t="s">
        <v>723</v>
      </c>
    </row>
    <row r="109" spans="2:10" ht="35" customHeight="1" x14ac:dyDescent="0.2">
      <c r="B109" s="11">
        <v>37</v>
      </c>
      <c r="C109" s="42">
        <v>46065</v>
      </c>
      <c r="D109" s="12" t="s">
        <v>506</v>
      </c>
      <c r="E109" s="12" t="s">
        <v>739</v>
      </c>
      <c r="F109" s="13">
        <v>1420</v>
      </c>
      <c r="G109" s="13">
        <v>38</v>
      </c>
      <c r="H109" s="12" t="s">
        <v>13</v>
      </c>
      <c r="I109" s="13" t="s">
        <v>737</v>
      </c>
      <c r="J109" s="13" t="s">
        <v>723</v>
      </c>
    </row>
    <row r="110" spans="2:10" ht="35" customHeight="1" x14ac:dyDescent="0.2">
      <c r="B110" s="14">
        <v>38</v>
      </c>
      <c r="C110" s="42">
        <v>46065</v>
      </c>
      <c r="D110" s="15" t="s">
        <v>506</v>
      </c>
      <c r="E110" s="15" t="s">
        <v>739</v>
      </c>
      <c r="F110" s="16">
        <v>1405</v>
      </c>
      <c r="G110" s="16">
        <v>46</v>
      </c>
      <c r="H110" s="15" t="s">
        <v>13</v>
      </c>
      <c r="I110" s="16" t="s">
        <v>737</v>
      </c>
      <c r="J110" s="16" t="s">
        <v>723</v>
      </c>
    </row>
    <row r="111" spans="2:10" ht="35" customHeight="1" x14ac:dyDescent="0.2">
      <c r="B111" s="11">
        <v>39</v>
      </c>
      <c r="C111" s="42">
        <v>46065</v>
      </c>
      <c r="D111" s="12" t="s">
        <v>506</v>
      </c>
      <c r="E111" s="12" t="s">
        <v>739</v>
      </c>
      <c r="F111" s="13" t="s">
        <v>773</v>
      </c>
      <c r="G111" s="13">
        <v>42</v>
      </c>
      <c r="H111" s="12" t="s">
        <v>13</v>
      </c>
      <c r="I111" s="13" t="s">
        <v>737</v>
      </c>
      <c r="J111" s="13" t="s">
        <v>723</v>
      </c>
    </row>
    <row r="112" spans="2:10" ht="35" customHeight="1" x14ac:dyDescent="0.2">
      <c r="B112" s="14">
        <v>40</v>
      </c>
      <c r="C112" s="42">
        <v>46065</v>
      </c>
      <c r="D112" s="15" t="s">
        <v>506</v>
      </c>
      <c r="E112" s="15" t="s">
        <v>742</v>
      </c>
      <c r="F112" s="16">
        <v>3303</v>
      </c>
      <c r="G112" s="16">
        <v>30</v>
      </c>
      <c r="H112" s="15" t="s">
        <v>13</v>
      </c>
      <c r="I112" s="16" t="s">
        <v>737</v>
      </c>
      <c r="J112" s="16" t="s">
        <v>723</v>
      </c>
    </row>
    <row r="113" spans="2:10" ht="35" customHeight="1" x14ac:dyDescent="0.2">
      <c r="B113" s="11">
        <v>41</v>
      </c>
      <c r="C113" s="42">
        <v>46065</v>
      </c>
      <c r="D113" s="12" t="s">
        <v>506</v>
      </c>
      <c r="E113" s="12" t="s">
        <v>776</v>
      </c>
      <c r="F113" s="13" t="s">
        <v>777</v>
      </c>
      <c r="G113" s="13">
        <v>48</v>
      </c>
      <c r="H113" s="12" t="s">
        <v>13</v>
      </c>
      <c r="I113" s="13" t="s">
        <v>737</v>
      </c>
      <c r="J113" s="13" t="s">
        <v>723</v>
      </c>
    </row>
    <row r="114" spans="2:10" ht="35" customHeight="1" x14ac:dyDescent="0.2">
      <c r="B114" s="14">
        <v>42</v>
      </c>
      <c r="C114" s="42">
        <v>46065</v>
      </c>
      <c r="D114" s="15" t="s">
        <v>506</v>
      </c>
      <c r="E114" s="15" t="s">
        <v>776</v>
      </c>
      <c r="F114" s="16" t="s">
        <v>778</v>
      </c>
      <c r="G114" s="16">
        <v>52</v>
      </c>
      <c r="H114" s="15" t="s">
        <v>13</v>
      </c>
      <c r="I114" s="16" t="s">
        <v>737</v>
      </c>
      <c r="J114" s="16" t="s">
        <v>723</v>
      </c>
    </row>
    <row r="115" spans="2:10" ht="35" customHeight="1" x14ac:dyDescent="0.2">
      <c r="B115" s="11">
        <v>43</v>
      </c>
      <c r="C115" s="42">
        <v>46065</v>
      </c>
      <c r="D115" s="12" t="s">
        <v>506</v>
      </c>
      <c r="E115" s="12" t="s">
        <v>779</v>
      </c>
      <c r="F115" s="13" t="s">
        <v>780</v>
      </c>
      <c r="G115" s="13">
        <v>72</v>
      </c>
      <c r="H115" s="12" t="s">
        <v>13</v>
      </c>
      <c r="I115" s="13" t="s">
        <v>737</v>
      </c>
      <c r="J115" s="13" t="s">
        <v>723</v>
      </c>
    </row>
    <row r="116" spans="2:10" ht="35" customHeight="1" x14ac:dyDescent="0.2">
      <c r="B116" s="14">
        <v>44</v>
      </c>
      <c r="C116" s="42">
        <v>46065</v>
      </c>
      <c r="D116" s="15" t="s">
        <v>506</v>
      </c>
      <c r="E116" s="15" t="s">
        <v>779</v>
      </c>
      <c r="F116" s="16" t="s">
        <v>781</v>
      </c>
      <c r="G116" s="16">
        <v>72</v>
      </c>
      <c r="H116" s="15" t="s">
        <v>13</v>
      </c>
      <c r="I116" s="16" t="s">
        <v>737</v>
      </c>
      <c r="J116" s="16" t="s">
        <v>723</v>
      </c>
    </row>
    <row r="117" spans="2:10" ht="35" customHeight="1" x14ac:dyDescent="0.2">
      <c r="B117" s="11">
        <v>45</v>
      </c>
      <c r="C117" s="42">
        <v>46065</v>
      </c>
      <c r="D117" s="12" t="s">
        <v>506</v>
      </c>
      <c r="E117" s="12" t="s">
        <v>782</v>
      </c>
      <c r="F117" s="13" t="s">
        <v>783</v>
      </c>
      <c r="G117" s="13">
        <v>61</v>
      </c>
      <c r="H117" s="12" t="s">
        <v>13</v>
      </c>
      <c r="I117" s="13" t="s">
        <v>737</v>
      </c>
      <c r="J117" s="13" t="s">
        <v>723</v>
      </c>
    </row>
    <row r="118" spans="2:10" ht="35" customHeight="1" x14ac:dyDescent="0.2">
      <c r="B118" s="14">
        <v>46</v>
      </c>
      <c r="C118" s="42">
        <v>46065</v>
      </c>
      <c r="D118" s="15" t="s">
        <v>506</v>
      </c>
      <c r="E118" s="15" t="s">
        <v>784</v>
      </c>
      <c r="F118" s="16" t="s">
        <v>785</v>
      </c>
      <c r="G118" s="16">
        <v>61</v>
      </c>
      <c r="H118" s="15" t="s">
        <v>13</v>
      </c>
      <c r="I118" s="16" t="s">
        <v>737</v>
      </c>
      <c r="J118" s="16" t="s">
        <v>723</v>
      </c>
    </row>
    <row r="119" spans="2:10" ht="35" customHeight="1" x14ac:dyDescent="0.2">
      <c r="B119" s="11">
        <v>47</v>
      </c>
      <c r="C119" s="42">
        <v>46065</v>
      </c>
      <c r="D119" s="12" t="s">
        <v>506</v>
      </c>
      <c r="E119" s="12" t="s">
        <v>786</v>
      </c>
      <c r="F119" s="13" t="s">
        <v>787</v>
      </c>
      <c r="G119" s="13">
        <v>46</v>
      </c>
      <c r="H119" s="12" t="s">
        <v>13</v>
      </c>
      <c r="I119" s="13" t="s">
        <v>737</v>
      </c>
      <c r="J119" s="13" t="s">
        <v>723</v>
      </c>
    </row>
    <row r="120" spans="2:10" ht="35" customHeight="1" x14ac:dyDescent="0.2">
      <c r="B120" s="14">
        <v>48</v>
      </c>
      <c r="C120" s="42">
        <v>46065</v>
      </c>
      <c r="D120" s="15" t="s">
        <v>506</v>
      </c>
      <c r="E120" s="15" t="s">
        <v>788</v>
      </c>
      <c r="F120" s="16" t="s">
        <v>789</v>
      </c>
      <c r="G120" s="16">
        <v>42</v>
      </c>
      <c r="H120" s="15" t="s">
        <v>13</v>
      </c>
      <c r="I120" s="16" t="s">
        <v>737</v>
      </c>
      <c r="J120" s="16" t="s">
        <v>723</v>
      </c>
    </row>
    <row r="121" spans="2:10" ht="35" customHeight="1" x14ac:dyDescent="0.2">
      <c r="B121" s="11">
        <v>49</v>
      </c>
      <c r="C121" s="42">
        <v>46065</v>
      </c>
      <c r="D121" s="12" t="s">
        <v>506</v>
      </c>
      <c r="E121" s="12" t="s">
        <v>790</v>
      </c>
      <c r="F121" s="13" t="s">
        <v>791</v>
      </c>
      <c r="G121" s="13">
        <v>44</v>
      </c>
      <c r="H121" s="12" t="s">
        <v>13</v>
      </c>
      <c r="I121" s="13" t="s">
        <v>737</v>
      </c>
      <c r="J121" s="13" t="s">
        <v>723</v>
      </c>
    </row>
    <row r="122" spans="2:10" ht="35" customHeight="1" x14ac:dyDescent="0.2">
      <c r="B122" s="14">
        <v>50</v>
      </c>
      <c r="C122" s="42">
        <v>46065</v>
      </c>
      <c r="D122" s="15" t="s">
        <v>506</v>
      </c>
      <c r="E122" s="15" t="s">
        <v>753</v>
      </c>
      <c r="F122" s="16" t="s">
        <v>792</v>
      </c>
      <c r="G122" s="16">
        <v>52</v>
      </c>
      <c r="H122" s="15" t="s">
        <v>11</v>
      </c>
      <c r="I122" s="16" t="s">
        <v>737</v>
      </c>
      <c r="J122" s="16" t="s">
        <v>723</v>
      </c>
    </row>
    <row r="124" spans="2:10" x14ac:dyDescent="0.2">
      <c r="B124" s="17" t="s">
        <v>39</v>
      </c>
    </row>
    <row r="125" spans="2:10" x14ac:dyDescent="0.2">
      <c r="B125" s="18" t="s">
        <v>40</v>
      </c>
      <c r="C125" s="6">
        <f>COUNTA(H73:H122)</f>
        <v>50</v>
      </c>
    </row>
    <row r="126" spans="2:10" x14ac:dyDescent="0.2">
      <c r="B126" s="18" t="s">
        <v>41</v>
      </c>
      <c r="C126" s="19">
        <f>COUNTIF(H73:H122,"PASS")</f>
        <v>3</v>
      </c>
    </row>
    <row r="127" spans="2:10" x14ac:dyDescent="0.2">
      <c r="B127" s="18" t="s">
        <v>42</v>
      </c>
      <c r="C127" s="20">
        <f>COUNTIF(H73:H122,"PARTIAL FAIL")</f>
        <v>46</v>
      </c>
    </row>
    <row r="128" spans="2:10" x14ac:dyDescent="0.2">
      <c r="B128" s="18" t="s">
        <v>43</v>
      </c>
      <c r="C128" s="21">
        <f>COUNTIF(H73:H122,"FAIL")</f>
        <v>1</v>
      </c>
    </row>
    <row r="131" spans="2:3" ht="16" x14ac:dyDescent="0.25">
      <c r="B131" s="3" t="s">
        <v>51</v>
      </c>
    </row>
    <row r="133" spans="2:3" x14ac:dyDescent="0.2">
      <c r="B133" s="18" t="s">
        <v>52</v>
      </c>
      <c r="C133" s="6">
        <f>C62+C125</f>
        <v>100</v>
      </c>
    </row>
    <row r="134" spans="2:3" x14ac:dyDescent="0.2">
      <c r="B134" s="18" t="s">
        <v>53</v>
      </c>
      <c r="C134" s="19">
        <f>C63+C126</f>
        <v>28</v>
      </c>
    </row>
    <row r="135" spans="2:3" x14ac:dyDescent="0.2">
      <c r="B135" s="18" t="s">
        <v>54</v>
      </c>
      <c r="C135" s="20">
        <f>C64+C127</f>
        <v>61</v>
      </c>
    </row>
    <row r="136" spans="2:3" x14ac:dyDescent="0.2">
      <c r="B136" s="18" t="s">
        <v>55</v>
      </c>
      <c r="C136" s="21">
        <f>C65+C128</f>
        <v>11</v>
      </c>
    </row>
    <row r="138" spans="2:3" x14ac:dyDescent="0.2">
      <c r="B138" s="18" t="s">
        <v>56</v>
      </c>
      <c r="C138" s="22">
        <f>IF(C133&gt;0,C134/C133,0)</f>
        <v>0.28000000000000003</v>
      </c>
    </row>
  </sheetData>
  <mergeCells count="6">
    <mergeCell ref="B7:J7"/>
    <mergeCell ref="B5:J5"/>
    <mergeCell ref="B70:J70"/>
    <mergeCell ref="B69:J69"/>
    <mergeCell ref="B6:J6"/>
    <mergeCell ref="B68:J68"/>
  </mergeCells>
  <dataValidations count="2">
    <dataValidation type="list" allowBlank="1" errorTitle="Invalid Result" error="Please select PASS, PARTIAL FAIL, or FAIL" sqref="H10:H59 H73:H122" xr:uid="{00000000-0002-0000-0100-000000000000}">
      <formula1>"PASS,PARTIAL FAIL,FAIL"</formula1>
    </dataValidation>
    <dataValidation type="list" allowBlank="1" sqref="E10:E59" xr:uid="{00000000-0002-0000-0100-000001000000}">
      <formula1>"Case Notes,Teams Chat,Phone Call,Walk-up,Email,Other"</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117"/>
  <sheetViews>
    <sheetView showGridLines="0" topLeftCell="A8" workbookViewId="0">
      <pane xSplit="1" topLeftCell="F1" activePane="topRight" state="frozen"/>
      <selection pane="topRight" activeCell="K87" sqref="K87"/>
    </sheetView>
  </sheetViews>
  <sheetFormatPr baseColWidth="10" defaultColWidth="8.83203125" defaultRowHeight="15" x14ac:dyDescent="0.2"/>
  <cols>
    <col min="1" max="1" width="3" customWidth="1"/>
    <col min="2" max="2" width="6" customWidth="1"/>
    <col min="3" max="3" width="12" customWidth="1"/>
    <col min="4" max="5" width="15" customWidth="1"/>
    <col min="6" max="6" width="45" customWidth="1"/>
    <col min="7" max="7" width="54.33203125" style="24" customWidth="1"/>
    <col min="8" max="8" width="12" customWidth="1"/>
    <col min="9" max="10" width="35" customWidth="1"/>
    <col min="11" max="11" width="31.1640625" customWidth="1"/>
  </cols>
  <sheetData>
    <row r="2" spans="2:11" ht="22" x14ac:dyDescent="0.3">
      <c r="B2" s="1" t="s">
        <v>57</v>
      </c>
    </row>
    <row r="3" spans="2:11" x14ac:dyDescent="0.2">
      <c r="B3" s="2" t="s">
        <v>58</v>
      </c>
    </row>
    <row r="5" spans="2:11" x14ac:dyDescent="0.2">
      <c r="B5" s="23" t="s">
        <v>59</v>
      </c>
      <c r="C5" s="2" t="s">
        <v>60</v>
      </c>
    </row>
    <row r="6" spans="2:11" ht="16" thickBot="1" x14ac:dyDescent="0.25"/>
    <row r="7" spans="2:11" ht="16" thickBot="1" x14ac:dyDescent="0.25">
      <c r="B7" s="10" t="s">
        <v>30</v>
      </c>
      <c r="C7" s="10" t="s">
        <v>31</v>
      </c>
      <c r="D7" s="10" t="s">
        <v>32</v>
      </c>
      <c r="E7" s="10" t="s">
        <v>33</v>
      </c>
      <c r="F7" s="25" t="s">
        <v>34</v>
      </c>
      <c r="G7" s="31" t="s">
        <v>35</v>
      </c>
      <c r="H7" s="29" t="s">
        <v>36</v>
      </c>
      <c r="I7" s="10" t="s">
        <v>37</v>
      </c>
      <c r="J7" s="10" t="s">
        <v>38</v>
      </c>
      <c r="K7" s="34"/>
    </row>
    <row r="8" spans="2:11" ht="66.75" customHeight="1" x14ac:dyDescent="0.2">
      <c r="B8" s="11">
        <v>1</v>
      </c>
      <c r="C8" s="12"/>
      <c r="D8" s="12"/>
      <c r="E8" s="12" t="s">
        <v>62</v>
      </c>
      <c r="F8" s="26" t="s">
        <v>63</v>
      </c>
      <c r="G8" s="38" t="s">
        <v>278</v>
      </c>
      <c r="H8" s="12" t="s">
        <v>13</v>
      </c>
      <c r="I8" s="38" t="s">
        <v>279</v>
      </c>
      <c r="J8" s="13" t="s">
        <v>280</v>
      </c>
    </row>
    <row r="9" spans="2:11" ht="45" customHeight="1" x14ac:dyDescent="0.2">
      <c r="B9" s="14">
        <v>2</v>
      </c>
      <c r="C9" s="15"/>
      <c r="D9" s="15"/>
      <c r="E9" s="15" t="s">
        <v>64</v>
      </c>
      <c r="F9" s="28" t="s">
        <v>65</v>
      </c>
      <c r="G9" s="38" t="s">
        <v>282</v>
      </c>
      <c r="H9" s="15" t="s">
        <v>13</v>
      </c>
      <c r="I9" s="38" t="s">
        <v>281</v>
      </c>
      <c r="J9" s="13" t="s">
        <v>280</v>
      </c>
    </row>
    <row r="10" spans="2:11" ht="45" customHeight="1" x14ac:dyDescent="0.2">
      <c r="B10" s="11">
        <v>3</v>
      </c>
      <c r="C10" s="12"/>
      <c r="D10" s="12"/>
      <c r="E10" s="12" t="s">
        <v>66</v>
      </c>
      <c r="F10" s="27" t="s">
        <v>67</v>
      </c>
      <c r="G10" s="38" t="s">
        <v>283</v>
      </c>
      <c r="H10" s="12" t="s">
        <v>11</v>
      </c>
      <c r="I10" s="13"/>
      <c r="J10" s="13" t="s">
        <v>284</v>
      </c>
    </row>
    <row r="11" spans="2:11" ht="45" customHeight="1" x14ac:dyDescent="0.2">
      <c r="B11" s="14">
        <v>4</v>
      </c>
      <c r="C11" s="15"/>
      <c r="D11" s="15"/>
      <c r="E11" s="15" t="s">
        <v>66</v>
      </c>
      <c r="F11" s="28" t="s">
        <v>68</v>
      </c>
      <c r="G11" s="39" t="s">
        <v>286</v>
      </c>
      <c r="H11" s="15" t="s">
        <v>15</v>
      </c>
      <c r="I11" s="38" t="s">
        <v>285</v>
      </c>
      <c r="J11" s="38" t="s">
        <v>287</v>
      </c>
    </row>
    <row r="12" spans="2:11" ht="45" customHeight="1" x14ac:dyDescent="0.2">
      <c r="B12" s="11">
        <v>5</v>
      </c>
      <c r="C12" s="12"/>
      <c r="D12" s="12"/>
      <c r="E12" s="12" t="s">
        <v>64</v>
      </c>
      <c r="F12" s="27" t="s">
        <v>69</v>
      </c>
      <c r="G12" s="38"/>
      <c r="H12" s="12"/>
      <c r="I12" s="13"/>
      <c r="J12" s="13"/>
    </row>
    <row r="13" spans="2:11" ht="45" customHeight="1" x14ac:dyDescent="0.2">
      <c r="B13" s="14">
        <v>6</v>
      </c>
      <c r="C13" s="15"/>
      <c r="D13" s="15"/>
      <c r="E13" s="15" t="s">
        <v>70</v>
      </c>
      <c r="F13" s="28" t="s">
        <v>71</v>
      </c>
      <c r="G13" s="38" t="s">
        <v>288</v>
      </c>
      <c r="H13" s="15" t="s">
        <v>15</v>
      </c>
      <c r="I13" s="38" t="s">
        <v>289</v>
      </c>
      <c r="J13" s="38" t="s">
        <v>290</v>
      </c>
    </row>
    <row r="14" spans="2:11" ht="45" customHeight="1" x14ac:dyDescent="0.2">
      <c r="B14" s="11">
        <v>7</v>
      </c>
      <c r="C14" s="12"/>
      <c r="D14" s="12"/>
      <c r="E14" s="12" t="s">
        <v>72</v>
      </c>
      <c r="F14" s="27" t="s">
        <v>73</v>
      </c>
      <c r="G14" s="38" t="s">
        <v>291</v>
      </c>
      <c r="H14" s="12" t="s">
        <v>15</v>
      </c>
      <c r="I14" s="38" t="s">
        <v>292</v>
      </c>
      <c r="J14" s="38" t="s">
        <v>293</v>
      </c>
    </row>
    <row r="15" spans="2:11" ht="45" customHeight="1" x14ac:dyDescent="0.2">
      <c r="B15" s="14">
        <v>8</v>
      </c>
      <c r="C15" s="15"/>
      <c r="D15" s="15"/>
      <c r="E15" s="15" t="s">
        <v>70</v>
      </c>
      <c r="F15" s="28" t="s">
        <v>74</v>
      </c>
      <c r="G15" s="38" t="s">
        <v>298</v>
      </c>
      <c r="H15" s="15" t="s">
        <v>15</v>
      </c>
      <c r="I15" s="38" t="s">
        <v>299</v>
      </c>
      <c r="J15" s="38" t="s">
        <v>300</v>
      </c>
    </row>
    <row r="16" spans="2:11" ht="45" customHeight="1" x14ac:dyDescent="0.2">
      <c r="B16" s="11">
        <v>9</v>
      </c>
      <c r="C16" s="12"/>
      <c r="D16" s="12"/>
      <c r="E16" s="12" t="s">
        <v>64</v>
      </c>
      <c r="F16" s="27" t="s">
        <v>75</v>
      </c>
      <c r="G16" s="38" t="s">
        <v>301</v>
      </c>
      <c r="H16" s="12" t="s">
        <v>13</v>
      </c>
      <c r="I16" s="38" t="s">
        <v>302</v>
      </c>
      <c r="J16" s="38" t="s">
        <v>303</v>
      </c>
    </row>
    <row r="17" spans="2:10" ht="45" customHeight="1" x14ac:dyDescent="0.2">
      <c r="B17" s="14">
        <v>10</v>
      </c>
      <c r="C17" s="15"/>
      <c r="D17" s="15"/>
      <c r="E17" s="15" t="s">
        <v>62</v>
      </c>
      <c r="F17" s="28" t="s">
        <v>76</v>
      </c>
      <c r="G17" s="38" t="s">
        <v>304</v>
      </c>
      <c r="H17" s="15" t="s">
        <v>15</v>
      </c>
      <c r="I17" s="38" t="s">
        <v>305</v>
      </c>
      <c r="J17" s="38" t="s">
        <v>306</v>
      </c>
    </row>
    <row r="18" spans="2:10" ht="45" customHeight="1" x14ac:dyDescent="0.2">
      <c r="B18" s="11">
        <v>11</v>
      </c>
      <c r="C18" s="12"/>
      <c r="D18" s="12"/>
      <c r="E18" s="12" t="s">
        <v>62</v>
      </c>
      <c r="F18" s="27" t="s">
        <v>77</v>
      </c>
      <c r="G18" s="38" t="s">
        <v>307</v>
      </c>
      <c r="H18" s="12" t="s">
        <v>11</v>
      </c>
      <c r="I18" s="38" t="s">
        <v>308</v>
      </c>
      <c r="J18" s="38" t="s">
        <v>309</v>
      </c>
    </row>
    <row r="19" spans="2:10" ht="45" customHeight="1" x14ac:dyDescent="0.2">
      <c r="B19" s="14">
        <v>12</v>
      </c>
      <c r="C19" s="15"/>
      <c r="D19" s="15"/>
      <c r="E19" s="15" t="s">
        <v>72</v>
      </c>
      <c r="F19" s="28" t="s">
        <v>78</v>
      </c>
      <c r="G19" s="38" t="s">
        <v>310</v>
      </c>
      <c r="H19" s="15" t="s">
        <v>11</v>
      </c>
      <c r="I19" s="38" t="s">
        <v>311</v>
      </c>
      <c r="J19" s="38" t="s">
        <v>312</v>
      </c>
    </row>
    <row r="20" spans="2:10" ht="45" customHeight="1" x14ac:dyDescent="0.2">
      <c r="B20" s="11">
        <v>13</v>
      </c>
      <c r="C20" s="12"/>
      <c r="D20" s="12"/>
      <c r="E20" s="12" t="s">
        <v>62</v>
      </c>
      <c r="F20" s="27" t="s">
        <v>79</v>
      </c>
      <c r="G20" s="38" t="s">
        <v>313</v>
      </c>
      <c r="H20" s="12" t="s">
        <v>15</v>
      </c>
      <c r="I20" s="38" t="s">
        <v>314</v>
      </c>
      <c r="J20" s="38" t="s">
        <v>315</v>
      </c>
    </row>
    <row r="21" spans="2:10" ht="45" customHeight="1" x14ac:dyDescent="0.2">
      <c r="B21" s="14">
        <v>14</v>
      </c>
      <c r="C21" s="15"/>
      <c r="D21" s="15"/>
      <c r="E21" s="15" t="s">
        <v>72</v>
      </c>
      <c r="F21" s="28" t="s">
        <v>80</v>
      </c>
      <c r="G21" s="38" t="s">
        <v>316</v>
      </c>
      <c r="H21" s="15" t="s">
        <v>15</v>
      </c>
      <c r="I21" s="38" t="s">
        <v>317</v>
      </c>
      <c r="J21" s="38" t="s">
        <v>318</v>
      </c>
    </row>
    <row r="22" spans="2:10" ht="45" customHeight="1" x14ac:dyDescent="0.2">
      <c r="B22" s="11">
        <v>15</v>
      </c>
      <c r="C22" s="12"/>
      <c r="D22" s="12"/>
      <c r="E22" s="12" t="s">
        <v>66</v>
      </c>
      <c r="F22" s="27" t="s">
        <v>81</v>
      </c>
      <c r="G22" s="38" t="s">
        <v>319</v>
      </c>
      <c r="H22" s="12" t="s">
        <v>11</v>
      </c>
      <c r="I22" s="38" t="s">
        <v>320</v>
      </c>
      <c r="J22" s="38" t="s">
        <v>321</v>
      </c>
    </row>
    <row r="23" spans="2:10" ht="45" customHeight="1" x14ac:dyDescent="0.2">
      <c r="B23" s="14">
        <v>16</v>
      </c>
      <c r="C23" s="15"/>
      <c r="D23" s="15"/>
      <c r="E23" s="15" t="s">
        <v>70</v>
      </c>
      <c r="F23" s="28" t="s">
        <v>82</v>
      </c>
      <c r="G23" s="38" t="s">
        <v>322</v>
      </c>
      <c r="H23" s="15" t="s">
        <v>15</v>
      </c>
      <c r="I23" s="38" t="s">
        <v>323</v>
      </c>
      <c r="J23" s="38" t="s">
        <v>324</v>
      </c>
    </row>
    <row r="24" spans="2:10" ht="45" customHeight="1" x14ac:dyDescent="0.2">
      <c r="B24" s="11">
        <v>17</v>
      </c>
      <c r="C24" s="12"/>
      <c r="D24" s="12"/>
      <c r="E24" s="12" t="s">
        <v>66</v>
      </c>
      <c r="F24" s="27" t="s">
        <v>83</v>
      </c>
      <c r="G24" s="38" t="s">
        <v>325</v>
      </c>
      <c r="H24" s="12" t="s">
        <v>13</v>
      </c>
      <c r="I24" s="38" t="s">
        <v>326</v>
      </c>
      <c r="J24" s="38" t="s">
        <v>327</v>
      </c>
    </row>
    <row r="25" spans="2:10" ht="45" customHeight="1" x14ac:dyDescent="0.2">
      <c r="B25" s="14">
        <v>18</v>
      </c>
      <c r="C25" s="15"/>
      <c r="D25" s="15"/>
      <c r="E25" s="15" t="s">
        <v>66</v>
      </c>
      <c r="F25" s="28" t="s">
        <v>84</v>
      </c>
      <c r="G25" s="38" t="s">
        <v>328</v>
      </c>
      <c r="H25" s="15" t="s">
        <v>11</v>
      </c>
      <c r="I25" s="38" t="s">
        <v>329</v>
      </c>
      <c r="J25" s="38" t="s">
        <v>330</v>
      </c>
    </row>
    <row r="26" spans="2:10" ht="45" customHeight="1" x14ac:dyDescent="0.2">
      <c r="B26" s="11">
        <v>19</v>
      </c>
      <c r="C26" s="12"/>
      <c r="D26" s="12"/>
      <c r="E26" s="12" t="s">
        <v>72</v>
      </c>
      <c r="F26" s="27" t="s">
        <v>85</v>
      </c>
      <c r="G26" s="38" t="s">
        <v>331</v>
      </c>
      <c r="H26" s="12" t="s">
        <v>15</v>
      </c>
      <c r="I26" s="38" t="s">
        <v>332</v>
      </c>
      <c r="J26" s="38" t="s">
        <v>333</v>
      </c>
    </row>
    <row r="27" spans="2:10" ht="45" customHeight="1" x14ac:dyDescent="0.2">
      <c r="B27" s="14">
        <v>20</v>
      </c>
      <c r="C27" s="15"/>
      <c r="D27" s="15"/>
      <c r="E27" s="15" t="s">
        <v>62</v>
      </c>
      <c r="F27" s="28" t="s">
        <v>86</v>
      </c>
      <c r="G27" s="38" t="s">
        <v>334</v>
      </c>
      <c r="H27" s="15" t="s">
        <v>15</v>
      </c>
      <c r="I27" s="38" t="s">
        <v>335</v>
      </c>
      <c r="J27" s="38" t="s">
        <v>336</v>
      </c>
    </row>
    <row r="28" spans="2:10" ht="45" customHeight="1" x14ac:dyDescent="0.2">
      <c r="B28" s="11">
        <v>21</v>
      </c>
      <c r="C28" s="12"/>
      <c r="D28" s="12"/>
      <c r="E28" s="12" t="s">
        <v>62</v>
      </c>
      <c r="F28" s="27" t="s">
        <v>87</v>
      </c>
      <c r="G28" s="38" t="s">
        <v>342</v>
      </c>
      <c r="H28" s="12" t="s">
        <v>15</v>
      </c>
      <c r="I28" s="38" t="s">
        <v>344</v>
      </c>
      <c r="J28" s="38" t="s">
        <v>345</v>
      </c>
    </row>
    <row r="29" spans="2:10" ht="45" customHeight="1" x14ac:dyDescent="0.2">
      <c r="B29" s="14">
        <v>22</v>
      </c>
      <c r="C29" s="15"/>
      <c r="D29" s="15"/>
      <c r="E29" s="15" t="s">
        <v>66</v>
      </c>
      <c r="F29" s="28" t="s">
        <v>88</v>
      </c>
      <c r="G29" s="38" t="s">
        <v>346</v>
      </c>
      <c r="H29" s="15" t="s">
        <v>15</v>
      </c>
      <c r="I29" s="38" t="s">
        <v>347</v>
      </c>
      <c r="J29" s="38" t="s">
        <v>348</v>
      </c>
    </row>
    <row r="30" spans="2:10" ht="45" customHeight="1" x14ac:dyDescent="0.2">
      <c r="B30" s="11">
        <v>23</v>
      </c>
      <c r="C30" s="12"/>
      <c r="D30" s="12"/>
      <c r="E30" s="12" t="s">
        <v>72</v>
      </c>
      <c r="F30" s="27" t="s">
        <v>89</v>
      </c>
      <c r="G30" s="38" t="s">
        <v>349</v>
      </c>
      <c r="H30" s="12" t="s">
        <v>11</v>
      </c>
      <c r="I30" s="38" t="s">
        <v>350</v>
      </c>
      <c r="J30" s="38" t="s">
        <v>351</v>
      </c>
    </row>
    <row r="31" spans="2:10" ht="45" customHeight="1" x14ac:dyDescent="0.2">
      <c r="B31" s="14">
        <v>24</v>
      </c>
      <c r="C31" s="15"/>
      <c r="D31" s="15"/>
      <c r="E31" s="15" t="s">
        <v>70</v>
      </c>
      <c r="F31" s="28" t="s">
        <v>90</v>
      </c>
      <c r="G31" s="38" t="s">
        <v>354</v>
      </c>
      <c r="H31" s="15" t="s">
        <v>13</v>
      </c>
      <c r="I31" s="38" t="s">
        <v>355</v>
      </c>
      <c r="J31" s="38" t="s">
        <v>356</v>
      </c>
    </row>
    <row r="32" spans="2:10" ht="45" customHeight="1" x14ac:dyDescent="0.2">
      <c r="B32" s="11">
        <v>25</v>
      </c>
      <c r="C32" s="12"/>
      <c r="D32" s="12"/>
      <c r="E32" s="12" t="s">
        <v>66</v>
      </c>
      <c r="F32" s="27" t="s">
        <v>91</v>
      </c>
      <c r="G32" s="38" t="s">
        <v>357</v>
      </c>
      <c r="H32" s="12" t="s">
        <v>11</v>
      </c>
      <c r="I32" s="38" t="s">
        <v>358</v>
      </c>
      <c r="J32" s="38" t="s">
        <v>359</v>
      </c>
    </row>
    <row r="33" spans="2:10" ht="45" customHeight="1" x14ac:dyDescent="0.2">
      <c r="B33" s="14">
        <v>26</v>
      </c>
      <c r="C33" s="15"/>
      <c r="D33" s="15"/>
      <c r="E33" s="15" t="s">
        <v>62</v>
      </c>
      <c r="F33" s="16" t="s">
        <v>92</v>
      </c>
      <c r="G33" s="38" t="s">
        <v>365</v>
      </c>
      <c r="H33" s="15" t="s">
        <v>15</v>
      </c>
      <c r="I33" s="38" t="s">
        <v>366</v>
      </c>
      <c r="J33" s="38" t="s">
        <v>367</v>
      </c>
    </row>
    <row r="34" spans="2:10" ht="45" customHeight="1" x14ac:dyDescent="0.2">
      <c r="B34" s="11">
        <v>27</v>
      </c>
      <c r="C34" s="12"/>
      <c r="D34" s="12"/>
      <c r="E34" s="12" t="s">
        <v>72</v>
      </c>
      <c r="F34" s="13" t="s">
        <v>93</v>
      </c>
      <c r="G34" s="38" t="s">
        <v>368</v>
      </c>
      <c r="H34" s="12" t="s">
        <v>11</v>
      </c>
      <c r="I34" s="38" t="s">
        <v>369</v>
      </c>
      <c r="J34" s="38" t="s">
        <v>370</v>
      </c>
    </row>
    <row r="35" spans="2:10" ht="45" customHeight="1" x14ac:dyDescent="0.2">
      <c r="B35" s="14">
        <v>28</v>
      </c>
      <c r="C35" s="15"/>
      <c r="D35" s="15"/>
      <c r="E35" s="15" t="s">
        <v>64</v>
      </c>
      <c r="F35" s="16" t="s">
        <v>94</v>
      </c>
      <c r="G35" s="36" t="s">
        <v>380</v>
      </c>
      <c r="H35" s="15" t="s">
        <v>15</v>
      </c>
      <c r="I35" s="16" t="s">
        <v>383</v>
      </c>
      <c r="J35" s="36" t="s">
        <v>385</v>
      </c>
    </row>
    <row r="36" spans="2:10" ht="45" customHeight="1" x14ac:dyDescent="0.2">
      <c r="B36" s="11">
        <v>29</v>
      </c>
      <c r="C36" s="12"/>
      <c r="D36" s="12"/>
      <c r="E36" s="12" t="s">
        <v>64</v>
      </c>
      <c r="F36" s="13" t="s">
        <v>95</v>
      </c>
      <c r="G36" s="13" t="s">
        <v>391</v>
      </c>
      <c r="H36" s="12" t="s">
        <v>15</v>
      </c>
      <c r="I36" s="13" t="s">
        <v>393</v>
      </c>
      <c r="J36" s="13" t="s">
        <v>394</v>
      </c>
    </row>
    <row r="37" spans="2:10" ht="45" customHeight="1" x14ac:dyDescent="0.2">
      <c r="B37" s="14">
        <v>30</v>
      </c>
      <c r="C37" s="15"/>
      <c r="D37" s="15"/>
      <c r="E37" s="15" t="s">
        <v>70</v>
      </c>
      <c r="F37" s="16" t="s">
        <v>96</v>
      </c>
      <c r="G37" s="16" t="s">
        <v>401</v>
      </c>
      <c r="H37" s="15" t="s">
        <v>15</v>
      </c>
      <c r="I37" s="16" t="s">
        <v>403</v>
      </c>
      <c r="J37" s="36" t="s">
        <v>411</v>
      </c>
    </row>
    <row r="38" spans="2:10" ht="45" customHeight="1" x14ac:dyDescent="0.2">
      <c r="B38" s="11">
        <v>31</v>
      </c>
      <c r="C38" s="12"/>
      <c r="D38" s="12"/>
      <c r="E38" s="12" t="s">
        <v>64</v>
      </c>
      <c r="F38" s="13" t="s">
        <v>97</v>
      </c>
      <c r="G38" s="35" t="s">
        <v>405</v>
      </c>
      <c r="H38" s="12" t="s">
        <v>15</v>
      </c>
      <c r="I38" s="13" t="s">
        <v>406</v>
      </c>
      <c r="J38" s="35" t="s">
        <v>407</v>
      </c>
    </row>
    <row r="39" spans="2:10" ht="45" customHeight="1" x14ac:dyDescent="0.2">
      <c r="B39" s="14">
        <v>32</v>
      </c>
      <c r="C39" s="15"/>
      <c r="D39" s="15"/>
      <c r="E39" s="15" t="s">
        <v>72</v>
      </c>
      <c r="F39" s="16" t="s">
        <v>98</v>
      </c>
      <c r="G39" s="16" t="s">
        <v>415</v>
      </c>
      <c r="H39" s="15" t="s">
        <v>15</v>
      </c>
      <c r="I39" s="16" t="s">
        <v>416</v>
      </c>
      <c r="J39" s="16" t="s">
        <v>417</v>
      </c>
    </row>
    <row r="40" spans="2:10" ht="45" customHeight="1" x14ac:dyDescent="0.2">
      <c r="B40" s="11">
        <v>33</v>
      </c>
      <c r="C40" s="12"/>
      <c r="D40" s="12"/>
      <c r="E40" s="12" t="s">
        <v>66</v>
      </c>
      <c r="F40" s="13" t="s">
        <v>99</v>
      </c>
      <c r="G40" s="13" t="s">
        <v>424</v>
      </c>
      <c r="H40" s="12" t="s">
        <v>15</v>
      </c>
      <c r="I40" s="13" t="s">
        <v>425</v>
      </c>
      <c r="J40" s="35" t="s">
        <v>429</v>
      </c>
    </row>
    <row r="41" spans="2:10" ht="45" customHeight="1" x14ac:dyDescent="0.2">
      <c r="B41" s="14">
        <v>34</v>
      </c>
      <c r="C41" s="15"/>
      <c r="D41" s="15"/>
      <c r="E41" s="15" t="s">
        <v>72</v>
      </c>
      <c r="F41" s="16" t="s">
        <v>100</v>
      </c>
      <c r="G41" s="16" t="s">
        <v>439</v>
      </c>
      <c r="H41" s="15" t="s">
        <v>15</v>
      </c>
      <c r="I41" s="16" t="s">
        <v>440</v>
      </c>
      <c r="J41" s="16" t="s">
        <v>441</v>
      </c>
    </row>
    <row r="42" spans="2:10" ht="45" customHeight="1" x14ac:dyDescent="0.2">
      <c r="B42" s="11">
        <v>35</v>
      </c>
      <c r="C42" s="12"/>
      <c r="D42" s="12"/>
      <c r="E42" s="12" t="s">
        <v>72</v>
      </c>
      <c r="F42" s="13" t="s">
        <v>101</v>
      </c>
      <c r="G42" s="13" t="s">
        <v>444</v>
      </c>
      <c r="H42" s="12" t="s">
        <v>15</v>
      </c>
      <c r="I42" s="35" t="s">
        <v>445</v>
      </c>
      <c r="J42" s="13" t="s">
        <v>446</v>
      </c>
    </row>
    <row r="43" spans="2:10" ht="45" customHeight="1" x14ac:dyDescent="0.2">
      <c r="B43" s="14">
        <v>36</v>
      </c>
      <c r="C43" s="15"/>
      <c r="D43" s="15"/>
      <c r="E43" s="15" t="s">
        <v>62</v>
      </c>
      <c r="F43" s="16" t="s">
        <v>102</v>
      </c>
      <c r="G43" s="16" t="s">
        <v>453</v>
      </c>
      <c r="H43" s="15" t="s">
        <v>15</v>
      </c>
      <c r="I43" s="16" t="s">
        <v>454</v>
      </c>
      <c r="J43" s="36" t="s">
        <v>455</v>
      </c>
    </row>
    <row r="44" spans="2:10" ht="45" customHeight="1" x14ac:dyDescent="0.2">
      <c r="B44" s="11">
        <v>37</v>
      </c>
      <c r="C44" s="12"/>
      <c r="D44" s="12"/>
      <c r="E44" s="12" t="s">
        <v>70</v>
      </c>
      <c r="F44" s="13" t="s">
        <v>103</v>
      </c>
      <c r="G44" s="13" t="s">
        <v>460</v>
      </c>
      <c r="H44" s="12" t="s">
        <v>15</v>
      </c>
      <c r="I44" s="13" t="s">
        <v>461</v>
      </c>
      <c r="J44" s="13" t="s">
        <v>463</v>
      </c>
    </row>
    <row r="45" spans="2:10" ht="45" customHeight="1" x14ac:dyDescent="0.2">
      <c r="B45" s="14">
        <v>38</v>
      </c>
      <c r="C45" s="15"/>
      <c r="D45" s="15"/>
      <c r="E45" s="15" t="s">
        <v>72</v>
      </c>
      <c r="F45" s="16" t="s">
        <v>104</v>
      </c>
      <c r="G45" s="16" t="s">
        <v>497</v>
      </c>
      <c r="H45" s="15" t="s">
        <v>15</v>
      </c>
      <c r="I45" s="16" t="s">
        <v>498</v>
      </c>
      <c r="J45" s="16" t="s">
        <v>499</v>
      </c>
    </row>
    <row r="46" spans="2:10" ht="45" customHeight="1" x14ac:dyDescent="0.2">
      <c r="B46" s="11">
        <v>39</v>
      </c>
      <c r="C46" s="12"/>
      <c r="D46" s="12"/>
      <c r="E46" s="12" t="s">
        <v>66</v>
      </c>
      <c r="F46" s="13" t="s">
        <v>105</v>
      </c>
      <c r="G46" s="13" t="s">
        <v>500</v>
      </c>
      <c r="H46" s="12" t="s">
        <v>15</v>
      </c>
      <c r="I46" s="13" t="s">
        <v>501</v>
      </c>
      <c r="J46" s="13" t="s">
        <v>504</v>
      </c>
    </row>
    <row r="47" spans="2:10" ht="45" customHeight="1" x14ac:dyDescent="0.2">
      <c r="B47" s="14">
        <v>40</v>
      </c>
      <c r="C47" s="15"/>
      <c r="D47" s="15"/>
      <c r="E47" s="15" t="s">
        <v>64</v>
      </c>
      <c r="F47" s="16" t="s">
        <v>106</v>
      </c>
      <c r="G47" s="16" t="s">
        <v>538</v>
      </c>
      <c r="H47" s="15" t="s">
        <v>15</v>
      </c>
      <c r="I47" s="36" t="s">
        <v>540</v>
      </c>
      <c r="J47" s="36" t="s">
        <v>543</v>
      </c>
    </row>
    <row r="48" spans="2:10" ht="45" customHeight="1" x14ac:dyDescent="0.2">
      <c r="B48" s="11">
        <v>41</v>
      </c>
      <c r="C48" s="12"/>
      <c r="D48" s="12"/>
      <c r="E48" s="12" t="s">
        <v>62</v>
      </c>
      <c r="F48" s="13" t="s">
        <v>107</v>
      </c>
      <c r="G48" s="35" t="s">
        <v>550</v>
      </c>
      <c r="H48" s="12" t="s">
        <v>15</v>
      </c>
      <c r="I48" s="13" t="s">
        <v>551</v>
      </c>
      <c r="J48" s="13" t="s">
        <v>552</v>
      </c>
    </row>
    <row r="49" spans="2:10" ht="45" customHeight="1" x14ac:dyDescent="0.2">
      <c r="B49" s="14">
        <v>42</v>
      </c>
      <c r="C49" s="15"/>
      <c r="D49" s="15"/>
      <c r="E49" s="15" t="s">
        <v>64</v>
      </c>
      <c r="F49" s="16" t="s">
        <v>108</v>
      </c>
      <c r="G49" s="16" t="s">
        <v>553</v>
      </c>
      <c r="H49" s="15" t="s">
        <v>15</v>
      </c>
      <c r="I49" s="16" t="s">
        <v>554</v>
      </c>
      <c r="J49" s="16" t="s">
        <v>555</v>
      </c>
    </row>
    <row r="50" spans="2:10" ht="45" customHeight="1" x14ac:dyDescent="0.2">
      <c r="B50" s="11">
        <v>43</v>
      </c>
      <c r="C50" s="12"/>
      <c r="D50" s="12"/>
      <c r="E50" s="12" t="s">
        <v>70</v>
      </c>
      <c r="F50" s="13" t="s">
        <v>109</v>
      </c>
      <c r="G50" s="13" t="s">
        <v>556</v>
      </c>
      <c r="H50" s="12" t="s">
        <v>15</v>
      </c>
      <c r="I50" s="13" t="s">
        <v>557</v>
      </c>
      <c r="J50" s="13" t="s">
        <v>558</v>
      </c>
    </row>
    <row r="51" spans="2:10" ht="45" customHeight="1" x14ac:dyDescent="0.2">
      <c r="B51" s="14">
        <v>44</v>
      </c>
      <c r="C51" s="15"/>
      <c r="D51" s="15"/>
      <c r="E51" s="15" t="s">
        <v>72</v>
      </c>
      <c r="F51" s="16" t="s">
        <v>110</v>
      </c>
      <c r="G51" s="16" t="s">
        <v>571</v>
      </c>
      <c r="H51" s="15" t="s">
        <v>15</v>
      </c>
      <c r="I51" s="16" t="s">
        <v>572</v>
      </c>
      <c r="J51" s="16" t="s">
        <v>574</v>
      </c>
    </row>
    <row r="52" spans="2:10" ht="45" customHeight="1" x14ac:dyDescent="0.2">
      <c r="B52" s="11">
        <v>45</v>
      </c>
      <c r="C52" s="12"/>
      <c r="D52" s="12"/>
      <c r="E52" s="12" t="s">
        <v>64</v>
      </c>
      <c r="F52" s="13" t="s">
        <v>111</v>
      </c>
      <c r="G52" s="13" t="s">
        <v>625</v>
      </c>
      <c r="H52" s="12" t="s">
        <v>15</v>
      </c>
      <c r="I52" s="35" t="s">
        <v>627</v>
      </c>
      <c r="J52" s="13" t="s">
        <v>629</v>
      </c>
    </row>
    <row r="53" spans="2:10" ht="45" customHeight="1" x14ac:dyDescent="0.2">
      <c r="B53" s="14">
        <v>46</v>
      </c>
      <c r="C53" s="15"/>
      <c r="D53" s="15"/>
      <c r="E53" s="15" t="s">
        <v>70</v>
      </c>
      <c r="F53" s="16" t="s">
        <v>112</v>
      </c>
      <c r="G53" s="16" t="s">
        <v>648</v>
      </c>
      <c r="H53" s="15" t="s">
        <v>15</v>
      </c>
      <c r="I53" s="16" t="s">
        <v>649</v>
      </c>
      <c r="J53" s="16" t="s">
        <v>651</v>
      </c>
    </row>
    <row r="54" spans="2:10" ht="45" customHeight="1" x14ac:dyDescent="0.2">
      <c r="B54" s="11">
        <v>47</v>
      </c>
      <c r="C54" s="12"/>
      <c r="D54" s="12"/>
      <c r="E54" s="12" t="s">
        <v>72</v>
      </c>
      <c r="F54" s="13" t="s">
        <v>113</v>
      </c>
      <c r="G54" s="13" t="s">
        <v>661</v>
      </c>
      <c r="H54" s="12" t="s">
        <v>15</v>
      </c>
      <c r="I54" s="13" t="s">
        <v>662</v>
      </c>
      <c r="J54" s="13" t="s">
        <v>663</v>
      </c>
    </row>
    <row r="55" spans="2:10" ht="45" customHeight="1" x14ac:dyDescent="0.2">
      <c r="B55" s="14">
        <v>48</v>
      </c>
      <c r="C55" s="15"/>
      <c r="D55" s="15"/>
      <c r="E55" s="15" t="s">
        <v>64</v>
      </c>
      <c r="F55" s="16" t="s">
        <v>114</v>
      </c>
      <c r="G55" s="16" t="s">
        <v>670</v>
      </c>
      <c r="H55" s="15" t="s">
        <v>15</v>
      </c>
      <c r="I55" s="16" t="s">
        <v>671</v>
      </c>
      <c r="J55" s="16" t="s">
        <v>672</v>
      </c>
    </row>
    <row r="56" spans="2:10" ht="45" customHeight="1" x14ac:dyDescent="0.2">
      <c r="B56" s="11">
        <v>49</v>
      </c>
      <c r="C56" s="12"/>
      <c r="D56" s="12"/>
      <c r="E56" s="12" t="s">
        <v>70</v>
      </c>
      <c r="F56" s="13" t="s">
        <v>115</v>
      </c>
      <c r="G56" s="13"/>
      <c r="H56" s="12"/>
      <c r="I56" s="13"/>
      <c r="J56" s="13"/>
    </row>
    <row r="57" spans="2:10" ht="45" customHeight="1" x14ac:dyDescent="0.2">
      <c r="B57" s="14">
        <v>50</v>
      </c>
      <c r="C57" s="15"/>
      <c r="D57" s="15"/>
      <c r="E57" s="15" t="s">
        <v>70</v>
      </c>
      <c r="F57" s="16" t="s">
        <v>116</v>
      </c>
      <c r="G57" s="16" t="s">
        <v>678</v>
      </c>
      <c r="H57" s="15" t="s">
        <v>15</v>
      </c>
      <c r="I57" s="16" t="s">
        <v>679</v>
      </c>
      <c r="J57" s="16" t="s">
        <v>680</v>
      </c>
    </row>
    <row r="58" spans="2:10" ht="45" customHeight="1" x14ac:dyDescent="0.2">
      <c r="B58" s="11">
        <v>51</v>
      </c>
      <c r="C58" s="12"/>
      <c r="D58" s="12"/>
      <c r="E58" s="12" t="s">
        <v>117</v>
      </c>
      <c r="F58" s="13" t="s">
        <v>118</v>
      </c>
      <c r="G58" s="13" t="s">
        <v>804</v>
      </c>
      <c r="H58" s="12" t="s">
        <v>15</v>
      </c>
      <c r="I58" s="13" t="s">
        <v>805</v>
      </c>
      <c r="J58" s="13" t="s">
        <v>809</v>
      </c>
    </row>
    <row r="59" spans="2:10" ht="45" customHeight="1" x14ac:dyDescent="0.2">
      <c r="B59" s="14">
        <v>52</v>
      </c>
      <c r="C59" s="15"/>
      <c r="D59" s="15"/>
      <c r="E59" s="15" t="s">
        <v>117</v>
      </c>
      <c r="F59" s="16" t="s">
        <v>119</v>
      </c>
      <c r="G59" s="16" t="s">
        <v>377</v>
      </c>
      <c r="H59" s="15" t="s">
        <v>13</v>
      </c>
      <c r="I59" s="16" t="s">
        <v>378</v>
      </c>
      <c r="J59" s="16" t="s">
        <v>379</v>
      </c>
    </row>
    <row r="60" spans="2:10" ht="45" customHeight="1" x14ac:dyDescent="0.2">
      <c r="B60" s="11">
        <v>53</v>
      </c>
      <c r="C60" s="12"/>
      <c r="D60" s="12"/>
      <c r="E60" s="12" t="s">
        <v>117</v>
      </c>
      <c r="F60" s="13" t="s">
        <v>120</v>
      </c>
      <c r="G60" s="13" t="s">
        <v>816</v>
      </c>
      <c r="H60" s="12" t="s">
        <v>15</v>
      </c>
      <c r="I60" s="13" t="s">
        <v>817</v>
      </c>
      <c r="J60" s="13" t="s">
        <v>818</v>
      </c>
    </row>
    <row r="61" spans="2:10" ht="45" customHeight="1" x14ac:dyDescent="0.2">
      <c r="B61" s="14">
        <v>54</v>
      </c>
      <c r="C61" s="15"/>
      <c r="D61" s="15"/>
      <c r="E61" s="15" t="s">
        <v>117</v>
      </c>
      <c r="F61" s="16" t="s">
        <v>121</v>
      </c>
      <c r="G61" s="16" t="s">
        <v>819</v>
      </c>
      <c r="H61" s="15" t="s">
        <v>15</v>
      </c>
      <c r="I61" s="16" t="s">
        <v>820</v>
      </c>
      <c r="J61" s="16" t="s">
        <v>821</v>
      </c>
    </row>
    <row r="62" spans="2:10" ht="45" customHeight="1" x14ac:dyDescent="0.2">
      <c r="B62" s="11">
        <v>55</v>
      </c>
      <c r="C62" s="12"/>
      <c r="D62" s="12"/>
      <c r="E62" s="12" t="s">
        <v>117</v>
      </c>
      <c r="F62" s="13" t="s">
        <v>122</v>
      </c>
      <c r="G62" s="13" t="s">
        <v>823</v>
      </c>
      <c r="H62" s="12" t="s">
        <v>15</v>
      </c>
      <c r="I62" s="13" t="s">
        <v>824</v>
      </c>
      <c r="J62" s="13" t="s">
        <v>826</v>
      </c>
    </row>
    <row r="63" spans="2:10" ht="45" customHeight="1" x14ac:dyDescent="0.2">
      <c r="B63" s="14">
        <v>56</v>
      </c>
      <c r="C63" s="15"/>
      <c r="D63" s="15"/>
      <c r="E63" s="15" t="s">
        <v>117</v>
      </c>
      <c r="F63" s="16" t="s">
        <v>123</v>
      </c>
      <c r="G63" s="16" t="s">
        <v>831</v>
      </c>
      <c r="H63" s="15" t="s">
        <v>15</v>
      </c>
      <c r="I63" s="16" t="s">
        <v>832</v>
      </c>
      <c r="J63" s="16" t="s">
        <v>833</v>
      </c>
    </row>
    <row r="64" spans="2:10" ht="45" customHeight="1" x14ac:dyDescent="0.2">
      <c r="B64" s="11">
        <v>57</v>
      </c>
      <c r="C64" s="12"/>
      <c r="D64" s="12"/>
      <c r="E64" s="12" t="s">
        <v>117</v>
      </c>
      <c r="F64" s="13" t="s">
        <v>124</v>
      </c>
      <c r="G64" s="13" t="s">
        <v>839</v>
      </c>
      <c r="H64" s="12" t="s">
        <v>15</v>
      </c>
      <c r="I64" s="13" t="s">
        <v>840</v>
      </c>
      <c r="J64" s="13" t="s">
        <v>841</v>
      </c>
    </row>
    <row r="65" spans="2:10" ht="45" customHeight="1" x14ac:dyDescent="0.2">
      <c r="B65" s="14">
        <v>58</v>
      </c>
      <c r="C65" s="15"/>
      <c r="D65" s="15"/>
      <c r="E65" s="15" t="s">
        <v>117</v>
      </c>
      <c r="F65" s="16" t="s">
        <v>125</v>
      </c>
      <c r="G65" s="16" t="s">
        <v>854</v>
      </c>
      <c r="H65" s="15" t="s">
        <v>15</v>
      </c>
      <c r="I65" s="16" t="s">
        <v>855</v>
      </c>
      <c r="J65" s="16" t="s">
        <v>857</v>
      </c>
    </row>
    <row r="66" spans="2:10" ht="45" customHeight="1" x14ac:dyDescent="0.2">
      <c r="B66" s="11">
        <v>59</v>
      </c>
      <c r="C66" s="12"/>
      <c r="D66" s="12"/>
      <c r="E66" s="12" t="s">
        <v>117</v>
      </c>
      <c r="F66" s="13" t="s">
        <v>126</v>
      </c>
      <c r="G66" s="13" t="s">
        <v>866</v>
      </c>
      <c r="H66" s="12" t="s">
        <v>15</v>
      </c>
      <c r="I66" s="13" t="s">
        <v>867</v>
      </c>
      <c r="J66" s="13" t="s">
        <v>868</v>
      </c>
    </row>
    <row r="67" spans="2:10" ht="45" customHeight="1" x14ac:dyDescent="0.2">
      <c r="B67" s="14">
        <v>60</v>
      </c>
      <c r="C67" s="15"/>
      <c r="D67" s="15"/>
      <c r="E67" s="15" t="s">
        <v>117</v>
      </c>
      <c r="F67" s="16" t="s">
        <v>127</v>
      </c>
      <c r="G67" s="16" t="s">
        <v>869</v>
      </c>
      <c r="H67" s="15" t="s">
        <v>15</v>
      </c>
      <c r="I67" s="16" t="s">
        <v>870</v>
      </c>
      <c r="J67" s="16" t="s">
        <v>871</v>
      </c>
    </row>
    <row r="68" spans="2:10" ht="45" customHeight="1" x14ac:dyDescent="0.2">
      <c r="B68" s="11">
        <v>61</v>
      </c>
      <c r="C68" s="12"/>
      <c r="D68" s="12"/>
      <c r="E68" s="12" t="s">
        <v>117</v>
      </c>
      <c r="F68" s="13" t="s">
        <v>128</v>
      </c>
      <c r="G68" s="13" t="s">
        <v>872</v>
      </c>
      <c r="H68" s="12" t="s">
        <v>15</v>
      </c>
      <c r="I68" s="13" t="s">
        <v>873</v>
      </c>
      <c r="J68" s="13" t="s">
        <v>874</v>
      </c>
    </row>
    <row r="69" spans="2:10" ht="45" customHeight="1" x14ac:dyDescent="0.2">
      <c r="B69" s="14">
        <v>62</v>
      </c>
      <c r="C69" s="15"/>
      <c r="D69" s="15"/>
      <c r="E69" s="15" t="s">
        <v>117</v>
      </c>
      <c r="F69" s="16" t="s">
        <v>129</v>
      </c>
      <c r="G69" s="16" t="s">
        <v>875</v>
      </c>
      <c r="H69" s="15" t="s">
        <v>15</v>
      </c>
      <c r="I69" s="16" t="s">
        <v>876</v>
      </c>
      <c r="J69" s="16" t="s">
        <v>877</v>
      </c>
    </row>
    <row r="70" spans="2:10" ht="45" customHeight="1" x14ac:dyDescent="0.2">
      <c r="B70" s="11">
        <v>63</v>
      </c>
      <c r="C70" s="12"/>
      <c r="D70" s="12"/>
      <c r="E70" s="12" t="s">
        <v>117</v>
      </c>
      <c r="F70" s="13" t="s">
        <v>130</v>
      </c>
      <c r="G70" s="13" t="s">
        <v>878</v>
      </c>
      <c r="H70" s="12" t="s">
        <v>15</v>
      </c>
      <c r="I70" s="13" t="s">
        <v>879</v>
      </c>
      <c r="J70" s="13" t="s">
        <v>880</v>
      </c>
    </row>
    <row r="71" spans="2:10" ht="45" customHeight="1" x14ac:dyDescent="0.2">
      <c r="B71" s="14">
        <v>64</v>
      </c>
      <c r="C71" s="15"/>
      <c r="D71" s="15"/>
      <c r="E71" s="15" t="s">
        <v>117</v>
      </c>
      <c r="F71" s="16" t="s">
        <v>131</v>
      </c>
      <c r="G71" s="16" t="s">
        <v>881</v>
      </c>
      <c r="H71" s="15" t="s">
        <v>15</v>
      </c>
      <c r="I71" s="16" t="s">
        <v>882</v>
      </c>
      <c r="J71" s="16" t="s">
        <v>883</v>
      </c>
    </row>
    <row r="72" spans="2:10" ht="45" customHeight="1" x14ac:dyDescent="0.2">
      <c r="B72" s="11">
        <v>65</v>
      </c>
      <c r="C72" s="12"/>
      <c r="D72" s="12"/>
      <c r="E72" s="12" t="s">
        <v>117</v>
      </c>
      <c r="F72" s="13" t="s">
        <v>132</v>
      </c>
      <c r="G72" s="13" t="s">
        <v>928</v>
      </c>
      <c r="H72" s="12" t="s">
        <v>15</v>
      </c>
      <c r="I72" s="13" t="s">
        <v>929</v>
      </c>
      <c r="J72" s="13" t="s">
        <v>931</v>
      </c>
    </row>
    <row r="73" spans="2:10" ht="45" customHeight="1" x14ac:dyDescent="0.2">
      <c r="B73" s="14">
        <v>66</v>
      </c>
      <c r="C73" s="15"/>
      <c r="D73" s="15"/>
      <c r="E73" s="15" t="s">
        <v>117</v>
      </c>
      <c r="F73" s="16" t="s">
        <v>133</v>
      </c>
      <c r="G73" s="16" t="s">
        <v>947</v>
      </c>
      <c r="H73" s="15" t="s">
        <v>15</v>
      </c>
      <c r="I73" s="16" t="s">
        <v>948</v>
      </c>
      <c r="J73" s="16" t="s">
        <v>949</v>
      </c>
    </row>
    <row r="74" spans="2:10" ht="45" customHeight="1" x14ac:dyDescent="0.2">
      <c r="B74" s="11">
        <v>67</v>
      </c>
      <c r="C74" s="12"/>
      <c r="D74" s="12"/>
      <c r="E74" s="12" t="s">
        <v>117</v>
      </c>
      <c r="F74" s="13" t="s">
        <v>134</v>
      </c>
      <c r="G74" s="13" t="s">
        <v>953</v>
      </c>
      <c r="H74" s="12" t="s">
        <v>15</v>
      </c>
      <c r="I74" s="13" t="s">
        <v>954</v>
      </c>
      <c r="J74" s="13" t="s">
        <v>955</v>
      </c>
    </row>
    <row r="75" spans="2:10" ht="45" customHeight="1" x14ac:dyDescent="0.2">
      <c r="B75" s="14">
        <v>68</v>
      </c>
      <c r="C75" s="15"/>
      <c r="D75" s="15"/>
      <c r="E75" s="15" t="s">
        <v>117</v>
      </c>
      <c r="F75" s="16" t="s">
        <v>135</v>
      </c>
      <c r="G75" s="16" t="s">
        <v>959</v>
      </c>
      <c r="H75" s="15" t="s">
        <v>15</v>
      </c>
      <c r="I75" s="16" t="s">
        <v>960</v>
      </c>
      <c r="J75" s="16" t="s">
        <v>961</v>
      </c>
    </row>
    <row r="76" spans="2:10" ht="45" customHeight="1" x14ac:dyDescent="0.2">
      <c r="B76" s="11">
        <v>69</v>
      </c>
      <c r="C76" s="12"/>
      <c r="D76" s="12"/>
      <c r="E76" s="12" t="s">
        <v>117</v>
      </c>
      <c r="F76" s="13" t="s">
        <v>136</v>
      </c>
      <c r="G76" s="13" t="s">
        <v>1018</v>
      </c>
      <c r="H76" s="12" t="s">
        <v>15</v>
      </c>
      <c r="I76" s="13" t="s">
        <v>1018</v>
      </c>
      <c r="J76" s="13" t="s">
        <v>1025</v>
      </c>
    </row>
    <row r="77" spans="2:10" ht="45" customHeight="1" x14ac:dyDescent="0.2">
      <c r="B77" s="14">
        <v>70</v>
      </c>
      <c r="C77" s="15"/>
      <c r="D77" s="15"/>
      <c r="E77" s="15" t="s">
        <v>117</v>
      </c>
      <c r="F77" s="16" t="s">
        <v>137</v>
      </c>
      <c r="G77" s="16" t="s">
        <v>1065</v>
      </c>
      <c r="H77" s="15" t="s">
        <v>15</v>
      </c>
      <c r="I77" s="16" t="s">
        <v>1066</v>
      </c>
      <c r="J77" s="16" t="s">
        <v>1068</v>
      </c>
    </row>
    <row r="78" spans="2:10" ht="45" customHeight="1" x14ac:dyDescent="0.2">
      <c r="B78" s="11">
        <v>71</v>
      </c>
      <c r="C78" s="12"/>
      <c r="D78" s="12"/>
      <c r="E78" s="12" t="s">
        <v>117</v>
      </c>
      <c r="F78" s="13" t="s">
        <v>138</v>
      </c>
      <c r="G78" s="13" t="s">
        <v>1069</v>
      </c>
      <c r="H78" s="12" t="s">
        <v>15</v>
      </c>
      <c r="I78" s="13" t="s">
        <v>1070</v>
      </c>
      <c r="J78" s="13" t="s">
        <v>1071</v>
      </c>
    </row>
    <row r="79" spans="2:10" ht="45" customHeight="1" x14ac:dyDescent="0.2">
      <c r="B79" s="14">
        <v>72</v>
      </c>
      <c r="C79" s="15"/>
      <c r="D79" s="15"/>
      <c r="E79" s="15" t="s">
        <v>117</v>
      </c>
      <c r="F79" s="16" t="s">
        <v>139</v>
      </c>
      <c r="G79" s="16" t="s">
        <v>1072</v>
      </c>
      <c r="H79" s="15" t="s">
        <v>15</v>
      </c>
      <c r="I79" s="16" t="s">
        <v>1073</v>
      </c>
      <c r="J79" s="16" t="s">
        <v>1074</v>
      </c>
    </row>
    <row r="80" spans="2:10" ht="45" customHeight="1" x14ac:dyDescent="0.2">
      <c r="B80" s="11">
        <v>73</v>
      </c>
      <c r="C80" s="12"/>
      <c r="D80" s="12"/>
      <c r="E80" s="12" t="s">
        <v>117</v>
      </c>
      <c r="F80" s="13" t="s">
        <v>140</v>
      </c>
      <c r="G80" s="13" t="s">
        <v>1075</v>
      </c>
      <c r="H80" s="12" t="s">
        <v>15</v>
      </c>
      <c r="I80" s="13" t="s">
        <v>1076</v>
      </c>
      <c r="J80" s="13" t="s">
        <v>1077</v>
      </c>
    </row>
    <row r="81" spans="2:11" ht="45" customHeight="1" x14ac:dyDescent="0.2">
      <c r="B81" s="14">
        <v>74</v>
      </c>
      <c r="C81" s="15"/>
      <c r="D81" s="15"/>
      <c r="E81" s="15" t="s">
        <v>117</v>
      </c>
      <c r="F81" s="16" t="s">
        <v>141</v>
      </c>
      <c r="G81" s="16" t="s">
        <v>1078</v>
      </c>
      <c r="H81" s="15" t="s">
        <v>15</v>
      </c>
      <c r="I81" s="16" t="s">
        <v>1079</v>
      </c>
      <c r="J81" s="16" t="s">
        <v>1080</v>
      </c>
    </row>
    <row r="82" spans="2:11" ht="45" customHeight="1" x14ac:dyDescent="0.2">
      <c r="B82" s="11">
        <v>75</v>
      </c>
      <c r="C82" s="12"/>
      <c r="D82" s="12"/>
      <c r="E82" s="12" t="s">
        <v>117</v>
      </c>
      <c r="F82" s="13" t="s">
        <v>142</v>
      </c>
      <c r="G82" s="13" t="s">
        <v>1081</v>
      </c>
      <c r="H82" s="12" t="s">
        <v>15</v>
      </c>
      <c r="I82" s="13" t="s">
        <v>1082</v>
      </c>
      <c r="J82" s="13" t="s">
        <v>1083</v>
      </c>
    </row>
    <row r="83" spans="2:11" ht="45" customHeight="1" x14ac:dyDescent="0.2">
      <c r="B83" s="14">
        <v>76</v>
      </c>
      <c r="C83" s="15"/>
      <c r="D83" s="15"/>
      <c r="E83" s="15" t="s">
        <v>117</v>
      </c>
      <c r="F83" s="16" t="s">
        <v>143</v>
      </c>
      <c r="G83" s="16" t="s">
        <v>1084</v>
      </c>
      <c r="H83" s="15" t="s">
        <v>15</v>
      </c>
      <c r="I83" s="16" t="s">
        <v>1086</v>
      </c>
      <c r="J83" s="16" t="s">
        <v>1085</v>
      </c>
    </row>
    <row r="84" spans="2:11" ht="45" customHeight="1" x14ac:dyDescent="0.2">
      <c r="B84" s="11">
        <v>77</v>
      </c>
      <c r="C84" s="12"/>
      <c r="D84" s="12"/>
      <c r="E84" s="12" t="s">
        <v>117</v>
      </c>
      <c r="F84" s="13" t="s">
        <v>144</v>
      </c>
      <c r="G84" s="13" t="s">
        <v>1087</v>
      </c>
      <c r="H84" s="12" t="s">
        <v>15</v>
      </c>
      <c r="I84" s="13" t="s">
        <v>1088</v>
      </c>
      <c r="J84" s="13" t="s">
        <v>1089</v>
      </c>
    </row>
    <row r="85" spans="2:11" ht="45" customHeight="1" x14ac:dyDescent="0.2">
      <c r="B85" s="14">
        <v>78</v>
      </c>
      <c r="C85" s="15"/>
      <c r="D85" s="15"/>
      <c r="E85" s="15" t="s">
        <v>117</v>
      </c>
      <c r="F85" s="16" t="s">
        <v>145</v>
      </c>
      <c r="G85" s="16" t="s">
        <v>1090</v>
      </c>
      <c r="H85" s="15" t="s">
        <v>15</v>
      </c>
      <c r="I85" s="16" t="s">
        <v>1091</v>
      </c>
      <c r="J85" s="16" t="s">
        <v>1092</v>
      </c>
    </row>
    <row r="86" spans="2:11" ht="45" customHeight="1" x14ac:dyDescent="0.2">
      <c r="B86" s="11">
        <v>79</v>
      </c>
      <c r="C86" s="12"/>
      <c r="D86" s="12"/>
      <c r="E86" s="12" t="s">
        <v>117</v>
      </c>
      <c r="F86" s="13" t="s">
        <v>146</v>
      </c>
      <c r="G86" s="13" t="s">
        <v>1093</v>
      </c>
      <c r="H86" s="12" t="s">
        <v>15</v>
      </c>
      <c r="I86" s="13" t="s">
        <v>1094</v>
      </c>
      <c r="J86" s="13" t="s">
        <v>1095</v>
      </c>
    </row>
    <row r="87" spans="2:11" ht="45" customHeight="1" x14ac:dyDescent="0.2">
      <c r="B87" s="14">
        <v>80</v>
      </c>
      <c r="C87" s="15"/>
      <c r="D87" s="15"/>
      <c r="E87" s="15" t="s">
        <v>117</v>
      </c>
      <c r="F87" s="16" t="s">
        <v>147</v>
      </c>
      <c r="G87" s="16" t="s">
        <v>1101</v>
      </c>
      <c r="H87" s="15" t="s">
        <v>15</v>
      </c>
      <c r="I87" s="16"/>
      <c r="J87" s="16" t="s">
        <v>1102</v>
      </c>
      <c r="K87" s="24" t="s">
        <v>1106</v>
      </c>
    </row>
    <row r="88" spans="2:11" ht="45" customHeight="1" x14ac:dyDescent="0.2">
      <c r="B88" s="11">
        <v>81</v>
      </c>
      <c r="C88" s="12"/>
      <c r="D88" s="12"/>
      <c r="E88" s="12" t="s">
        <v>117</v>
      </c>
      <c r="F88" s="13" t="s">
        <v>148</v>
      </c>
      <c r="G88" s="13" t="s">
        <v>1104</v>
      </c>
      <c r="H88" s="12" t="s">
        <v>15</v>
      </c>
      <c r="I88" s="13" t="s">
        <v>1105</v>
      </c>
      <c r="J88" s="13" t="s">
        <v>1102</v>
      </c>
      <c r="K88" s="24" t="s">
        <v>1106</v>
      </c>
    </row>
    <row r="89" spans="2:11" ht="45" customHeight="1" x14ac:dyDescent="0.2">
      <c r="B89" s="14">
        <v>82</v>
      </c>
      <c r="C89" s="15"/>
      <c r="D89" s="15"/>
      <c r="E89" s="15" t="s">
        <v>117</v>
      </c>
      <c r="F89" s="16" t="s">
        <v>149</v>
      </c>
      <c r="G89" s="16" t="s">
        <v>1110</v>
      </c>
      <c r="H89" s="15" t="s">
        <v>15</v>
      </c>
      <c r="I89" s="16" t="s">
        <v>1111</v>
      </c>
      <c r="J89" s="16" t="s">
        <v>1112</v>
      </c>
    </row>
    <row r="90" spans="2:11" ht="45" customHeight="1" x14ac:dyDescent="0.2">
      <c r="B90" s="11">
        <v>83</v>
      </c>
      <c r="C90" s="12"/>
      <c r="D90" s="12"/>
      <c r="E90" s="12" t="s">
        <v>117</v>
      </c>
      <c r="F90" s="13" t="s">
        <v>150</v>
      </c>
      <c r="G90" s="13" t="s">
        <v>1119</v>
      </c>
      <c r="H90" s="12" t="s">
        <v>15</v>
      </c>
      <c r="I90" s="13" t="s">
        <v>1118</v>
      </c>
      <c r="J90" s="13" t="s">
        <v>1120</v>
      </c>
    </row>
    <row r="91" spans="2:11" ht="45" customHeight="1" x14ac:dyDescent="0.2">
      <c r="B91" s="14">
        <v>84</v>
      </c>
      <c r="C91" s="15"/>
      <c r="D91" s="15"/>
      <c r="E91" s="15" t="s">
        <v>117</v>
      </c>
      <c r="F91" s="16" t="s">
        <v>151</v>
      </c>
      <c r="G91" s="16" t="s">
        <v>1121</v>
      </c>
      <c r="H91" s="15" t="s">
        <v>15</v>
      </c>
      <c r="I91" s="16" t="s">
        <v>1122</v>
      </c>
      <c r="J91" s="16" t="s">
        <v>1123</v>
      </c>
    </row>
    <row r="92" spans="2:11" ht="45" customHeight="1" x14ac:dyDescent="0.2">
      <c r="B92" s="11">
        <v>85</v>
      </c>
      <c r="C92" s="12"/>
      <c r="D92" s="12"/>
      <c r="E92" s="12" t="s">
        <v>117</v>
      </c>
      <c r="F92" s="13" t="s">
        <v>152</v>
      </c>
      <c r="G92" s="13" t="s">
        <v>1127</v>
      </c>
      <c r="H92" s="12" t="s">
        <v>15</v>
      </c>
      <c r="I92" s="13" t="s">
        <v>1128</v>
      </c>
      <c r="J92" s="13" t="s">
        <v>1129</v>
      </c>
    </row>
    <row r="93" spans="2:11" ht="45" customHeight="1" x14ac:dyDescent="0.2">
      <c r="B93" s="14">
        <v>86</v>
      </c>
      <c r="C93" s="15"/>
      <c r="D93" s="15"/>
      <c r="E93" s="15" t="s">
        <v>117</v>
      </c>
      <c r="F93" s="16" t="s">
        <v>153</v>
      </c>
      <c r="G93" s="16" t="s">
        <v>1132</v>
      </c>
      <c r="H93" s="15" t="s">
        <v>15</v>
      </c>
      <c r="I93" s="16" t="s">
        <v>1133</v>
      </c>
      <c r="J93" s="16" t="s">
        <v>1134</v>
      </c>
    </row>
    <row r="94" spans="2:11" ht="45" customHeight="1" x14ac:dyDescent="0.2">
      <c r="B94" s="11">
        <v>87</v>
      </c>
      <c r="C94" s="12"/>
      <c r="D94" s="12"/>
      <c r="E94" s="12" t="s">
        <v>117</v>
      </c>
      <c r="F94" s="13" t="s">
        <v>154</v>
      </c>
      <c r="G94" s="13" t="s">
        <v>1138</v>
      </c>
      <c r="H94" s="12" t="s">
        <v>15</v>
      </c>
      <c r="I94" s="13" t="s">
        <v>1139</v>
      </c>
      <c r="J94" s="13" t="s">
        <v>1140</v>
      </c>
    </row>
    <row r="95" spans="2:11" ht="45" customHeight="1" x14ac:dyDescent="0.2">
      <c r="B95" s="14">
        <v>88</v>
      </c>
      <c r="C95" s="15"/>
      <c r="D95" s="15"/>
      <c r="E95" s="15" t="s">
        <v>117</v>
      </c>
      <c r="F95" s="16" t="s">
        <v>155</v>
      </c>
      <c r="G95" s="16" t="s">
        <v>1141</v>
      </c>
      <c r="H95" s="15" t="s">
        <v>15</v>
      </c>
      <c r="I95" s="16" t="s">
        <v>1142</v>
      </c>
      <c r="J95" s="16" t="s">
        <v>1143</v>
      </c>
    </row>
    <row r="96" spans="2:11" ht="45" customHeight="1" x14ac:dyDescent="0.2">
      <c r="B96" s="11">
        <v>89</v>
      </c>
      <c r="C96" s="12"/>
      <c r="D96" s="12"/>
      <c r="E96" s="12" t="s">
        <v>117</v>
      </c>
      <c r="F96" s="13" t="s">
        <v>156</v>
      </c>
      <c r="G96" s="13" t="s">
        <v>1144</v>
      </c>
      <c r="H96" s="12" t="s">
        <v>15</v>
      </c>
      <c r="I96" s="13" t="s">
        <v>1145</v>
      </c>
      <c r="J96" s="13" t="s">
        <v>1146</v>
      </c>
    </row>
    <row r="97" spans="2:10" ht="45" customHeight="1" x14ac:dyDescent="0.2">
      <c r="B97" s="14">
        <v>90</v>
      </c>
      <c r="C97" s="15"/>
      <c r="D97" s="15"/>
      <c r="E97" s="15" t="s">
        <v>117</v>
      </c>
      <c r="F97" s="16" t="s">
        <v>157</v>
      </c>
      <c r="G97" s="16" t="s">
        <v>1150</v>
      </c>
      <c r="H97" s="15" t="s">
        <v>15</v>
      </c>
      <c r="I97" s="16" t="s">
        <v>1151</v>
      </c>
      <c r="J97" s="16" t="s">
        <v>1152</v>
      </c>
    </row>
    <row r="98" spans="2:10" ht="45" customHeight="1" x14ac:dyDescent="0.2">
      <c r="B98" s="11">
        <v>91</v>
      </c>
      <c r="C98" s="12"/>
      <c r="D98" s="12"/>
      <c r="E98" s="12" t="s">
        <v>117</v>
      </c>
      <c r="F98" s="13" t="s">
        <v>158</v>
      </c>
      <c r="G98" s="13" t="s">
        <v>1153</v>
      </c>
      <c r="H98" s="12" t="s">
        <v>15</v>
      </c>
      <c r="I98" s="13" t="s">
        <v>1154</v>
      </c>
      <c r="J98" s="13" t="s">
        <v>1155</v>
      </c>
    </row>
    <row r="99" spans="2:10" ht="45" customHeight="1" x14ac:dyDescent="0.2">
      <c r="B99" s="14">
        <v>92</v>
      </c>
      <c r="C99" s="15"/>
      <c r="D99" s="15"/>
      <c r="E99" s="15" t="s">
        <v>117</v>
      </c>
      <c r="F99" s="16" t="s">
        <v>159</v>
      </c>
      <c r="G99" s="16" t="s">
        <v>1156</v>
      </c>
      <c r="H99" s="15" t="s">
        <v>15</v>
      </c>
      <c r="I99" s="16" t="s">
        <v>1157</v>
      </c>
      <c r="J99" s="16" t="s">
        <v>1158</v>
      </c>
    </row>
    <row r="100" spans="2:10" ht="45" customHeight="1" x14ac:dyDescent="0.2">
      <c r="B100" s="11">
        <v>93</v>
      </c>
      <c r="C100" s="12"/>
      <c r="D100" s="12"/>
      <c r="E100" s="12" t="s">
        <v>117</v>
      </c>
      <c r="F100" s="13" t="s">
        <v>160</v>
      </c>
      <c r="G100" s="13" t="s">
        <v>1159</v>
      </c>
      <c r="H100" s="12"/>
      <c r="I100" s="13" t="s">
        <v>1160</v>
      </c>
      <c r="J100" s="13" t="s">
        <v>1160</v>
      </c>
    </row>
    <row r="101" spans="2:10" ht="45" customHeight="1" x14ac:dyDescent="0.2">
      <c r="B101" s="14">
        <v>94</v>
      </c>
      <c r="C101" s="15"/>
      <c r="D101" s="15"/>
      <c r="E101" s="15" t="s">
        <v>117</v>
      </c>
      <c r="F101" s="16" t="s">
        <v>161</v>
      </c>
      <c r="G101" s="16" t="s">
        <v>863</v>
      </c>
      <c r="H101" s="15" t="s">
        <v>15</v>
      </c>
      <c r="I101" s="16" t="s">
        <v>864</v>
      </c>
      <c r="J101" s="16" t="s">
        <v>865</v>
      </c>
    </row>
    <row r="102" spans="2:10" ht="45" customHeight="1" x14ac:dyDescent="0.2">
      <c r="B102" s="11">
        <v>95</v>
      </c>
      <c r="C102" s="12"/>
      <c r="D102" s="12"/>
      <c r="E102" s="12" t="s">
        <v>117</v>
      </c>
      <c r="F102" s="13" t="s">
        <v>162</v>
      </c>
      <c r="G102" s="13" t="s">
        <v>860</v>
      </c>
      <c r="H102" s="12" t="s">
        <v>15</v>
      </c>
      <c r="I102" s="13" t="s">
        <v>861</v>
      </c>
      <c r="J102" s="13" t="s">
        <v>862</v>
      </c>
    </row>
    <row r="103" spans="2:10" ht="45" customHeight="1" x14ac:dyDescent="0.2">
      <c r="B103" s="14">
        <v>96</v>
      </c>
      <c r="C103" s="15"/>
      <c r="D103" s="15"/>
      <c r="E103" s="15" t="s">
        <v>117</v>
      </c>
      <c r="F103" s="16" t="s">
        <v>163</v>
      </c>
      <c r="G103" s="16" t="s">
        <v>834</v>
      </c>
      <c r="H103" s="15" t="s">
        <v>15</v>
      </c>
      <c r="I103" s="16" t="s">
        <v>836</v>
      </c>
      <c r="J103" s="16" t="s">
        <v>838</v>
      </c>
    </row>
    <row r="104" spans="2:10" ht="45" customHeight="1" x14ac:dyDescent="0.2">
      <c r="B104" s="11">
        <v>97</v>
      </c>
      <c r="C104" s="12"/>
      <c r="D104" s="12"/>
      <c r="E104" s="12" t="s">
        <v>117</v>
      </c>
      <c r="F104" s="13" t="s">
        <v>164</v>
      </c>
      <c r="G104" s="13" t="s">
        <v>822</v>
      </c>
      <c r="H104" s="12" t="s">
        <v>15</v>
      </c>
      <c r="I104" s="13" t="s">
        <v>825</v>
      </c>
      <c r="J104" s="24" t="s">
        <v>830</v>
      </c>
    </row>
    <row r="105" spans="2:10" ht="45" customHeight="1" x14ac:dyDescent="0.2">
      <c r="B105" s="14">
        <v>98</v>
      </c>
      <c r="C105" s="15"/>
      <c r="D105" s="15"/>
      <c r="E105" s="15" t="s">
        <v>117</v>
      </c>
      <c r="F105" s="16" t="s">
        <v>165</v>
      </c>
      <c r="G105" s="16" t="s">
        <v>686</v>
      </c>
      <c r="H105" s="15" t="s">
        <v>15</v>
      </c>
      <c r="I105" s="16" t="s">
        <v>687</v>
      </c>
      <c r="J105" s="16" t="s">
        <v>688</v>
      </c>
    </row>
    <row r="106" spans="2:10" ht="45" customHeight="1" x14ac:dyDescent="0.2">
      <c r="B106" s="11">
        <v>99</v>
      </c>
      <c r="C106" s="12"/>
      <c r="D106" s="12"/>
      <c r="E106" s="12" t="s">
        <v>117</v>
      </c>
      <c r="F106" s="13" t="s">
        <v>166</v>
      </c>
      <c r="G106" s="13" t="s">
        <v>675</v>
      </c>
      <c r="H106" s="12" t="s">
        <v>15</v>
      </c>
      <c r="I106" s="13" t="s">
        <v>681</v>
      </c>
      <c r="J106" s="13" t="s">
        <v>682</v>
      </c>
    </row>
    <row r="107" spans="2:10" ht="45" customHeight="1" x14ac:dyDescent="0.2">
      <c r="B107" s="14">
        <v>100</v>
      </c>
      <c r="C107" s="15"/>
      <c r="D107" s="15"/>
      <c r="E107" s="15" t="s">
        <v>117</v>
      </c>
      <c r="F107" s="16" t="s">
        <v>167</v>
      </c>
      <c r="G107" s="16" t="s">
        <v>675</v>
      </c>
      <c r="H107" s="15" t="s">
        <v>15</v>
      </c>
      <c r="I107" s="16" t="s">
        <v>676</v>
      </c>
      <c r="J107" s="16" t="s">
        <v>677</v>
      </c>
    </row>
    <row r="110" spans="2:10" ht="16" x14ac:dyDescent="0.25">
      <c r="B110" s="3" t="s">
        <v>168</v>
      </c>
    </row>
    <row r="112" spans="2:10" x14ac:dyDescent="0.2">
      <c r="B112" s="18" t="s">
        <v>169</v>
      </c>
      <c r="C112" s="6">
        <f>COUNTA(H8:H107)</f>
        <v>97</v>
      </c>
    </row>
    <row r="113" spans="2:3" x14ac:dyDescent="0.2">
      <c r="B113" s="18" t="s">
        <v>41</v>
      </c>
      <c r="C113" s="19">
        <f>COUNTIF(H8:H107,"PASS")</f>
        <v>8</v>
      </c>
    </row>
    <row r="114" spans="2:3" x14ac:dyDescent="0.2">
      <c r="B114" s="18" t="s">
        <v>42</v>
      </c>
      <c r="C114" s="20">
        <f>COUNTIF(H8:H107,"PARTIAL FAIL")</f>
        <v>6</v>
      </c>
    </row>
    <row r="115" spans="2:3" x14ac:dyDescent="0.2">
      <c r="B115" s="18" t="s">
        <v>43</v>
      </c>
      <c r="C115" s="21">
        <f>COUNTIF(H8:H107,"FAIL")</f>
        <v>83</v>
      </c>
    </row>
    <row r="117" spans="2:3" x14ac:dyDescent="0.2">
      <c r="B117" s="18" t="s">
        <v>170</v>
      </c>
      <c r="C117" s="22">
        <f>IF(C112&gt;0,C113/C112,0)</f>
        <v>8.247422680412371E-2</v>
      </c>
    </row>
  </sheetData>
  <dataValidations count="2">
    <dataValidation type="list" allowBlank="1" errorTitle="Invalid Result" error="Please select PASS, PARTIAL FAIL, or FAIL" sqref="H8:H107" xr:uid="{00000000-0002-0000-0200-000000000000}">
      <formula1>"PASS,PARTIAL FAIL,FAIL"</formula1>
    </dataValidation>
    <dataValidation type="list" allowBlank="1" sqref="E8:E107" xr:uid="{00000000-0002-0000-0200-000001000000}">
      <formula1>"Case Notes,Teams Chat,Phone Call,Walk-up,Email,Other"</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17"/>
  <sheetViews>
    <sheetView showGridLines="0" workbookViewId="0">
      <pane xSplit="1" ySplit="7" topLeftCell="B98" activePane="bottomRight" state="frozen"/>
      <selection pane="topRight"/>
      <selection pane="bottomLeft"/>
      <selection pane="bottomRight" activeCell="G105" sqref="G105"/>
    </sheetView>
  </sheetViews>
  <sheetFormatPr baseColWidth="10" defaultColWidth="8.83203125" defaultRowHeight="15" x14ac:dyDescent="0.2"/>
  <cols>
    <col min="1" max="1" width="3" customWidth="1"/>
    <col min="2" max="2" width="6" customWidth="1"/>
    <col min="3" max="3" width="12" customWidth="1"/>
    <col min="4" max="5" width="15" customWidth="1"/>
    <col min="6" max="6" width="45" customWidth="1"/>
    <col min="7" max="7" width="50" customWidth="1"/>
    <col min="8" max="8" width="12" customWidth="1"/>
    <col min="9" max="9" width="35" customWidth="1"/>
    <col min="10" max="10" width="35" style="24" customWidth="1"/>
    <col min="11" max="11" width="18.33203125" customWidth="1"/>
  </cols>
  <sheetData>
    <row r="1" spans="2:11" hidden="1" x14ac:dyDescent="0.2"/>
    <row r="2" spans="2:11" ht="22" hidden="1" x14ac:dyDescent="0.3">
      <c r="B2" s="1" t="s">
        <v>171</v>
      </c>
    </row>
    <row r="3" spans="2:11" hidden="1" x14ac:dyDescent="0.2">
      <c r="B3" s="2" t="s">
        <v>172</v>
      </c>
    </row>
    <row r="4" spans="2:11" hidden="1" x14ac:dyDescent="0.2"/>
    <row r="5" spans="2:11" hidden="1" x14ac:dyDescent="0.2">
      <c r="B5" s="23" t="s">
        <v>59</v>
      </c>
      <c r="C5" s="55" t="s">
        <v>173</v>
      </c>
      <c r="D5" s="56"/>
      <c r="E5" s="56"/>
      <c r="F5" s="56"/>
      <c r="G5" s="56"/>
      <c r="H5" s="56"/>
      <c r="I5" s="56"/>
      <c r="J5" s="56"/>
    </row>
    <row r="6" spans="2:11" ht="16" hidden="1" thickBot="1" x14ac:dyDescent="0.25"/>
    <row r="7" spans="2:11" ht="16" thickBot="1" x14ac:dyDescent="0.25">
      <c r="B7" s="10" t="s">
        <v>30</v>
      </c>
      <c r="C7" s="10" t="s">
        <v>31</v>
      </c>
      <c r="D7" s="10" t="s">
        <v>32</v>
      </c>
      <c r="E7" s="10" t="s">
        <v>33</v>
      </c>
      <c r="F7" s="10" t="s">
        <v>34</v>
      </c>
      <c r="G7" s="10" t="s">
        <v>35</v>
      </c>
      <c r="H7" s="10" t="s">
        <v>36</v>
      </c>
      <c r="I7" s="10" t="s">
        <v>37</v>
      </c>
      <c r="J7" s="10" t="s">
        <v>38</v>
      </c>
      <c r="K7" s="10" t="s">
        <v>61</v>
      </c>
    </row>
    <row r="8" spans="2:11" ht="45" customHeight="1" x14ac:dyDescent="0.2">
      <c r="B8" s="11">
        <v>1</v>
      </c>
      <c r="C8" s="12"/>
      <c r="D8" s="12"/>
      <c r="E8" s="12" t="s">
        <v>70</v>
      </c>
      <c r="F8" s="13" t="s">
        <v>174</v>
      </c>
      <c r="G8" s="13" t="s">
        <v>374</v>
      </c>
      <c r="H8" s="12" t="s">
        <v>15</v>
      </c>
      <c r="I8" s="35" t="s">
        <v>375</v>
      </c>
      <c r="J8" s="13" t="s">
        <v>376</v>
      </c>
    </row>
    <row r="9" spans="2:11" ht="45" customHeight="1" x14ac:dyDescent="0.2">
      <c r="B9" s="14">
        <v>2</v>
      </c>
      <c r="C9" s="15"/>
      <c r="D9" s="15"/>
      <c r="E9" s="15" t="s">
        <v>72</v>
      </c>
      <c r="F9" s="16" t="s">
        <v>175</v>
      </c>
      <c r="G9" s="16" t="s">
        <v>412</v>
      </c>
      <c r="H9" s="15" t="s">
        <v>13</v>
      </c>
      <c r="I9" s="36" t="s">
        <v>413</v>
      </c>
      <c r="J9" s="16" t="s">
        <v>414</v>
      </c>
    </row>
    <row r="10" spans="2:11" ht="45" customHeight="1" x14ac:dyDescent="0.2">
      <c r="B10" s="11">
        <v>3</v>
      </c>
      <c r="C10" s="12"/>
      <c r="D10" s="12"/>
      <c r="E10" s="12" t="s">
        <v>62</v>
      </c>
      <c r="F10" s="13" t="s">
        <v>176</v>
      </c>
      <c r="G10" s="13" t="s">
        <v>409</v>
      </c>
      <c r="H10" s="12" t="s">
        <v>13</v>
      </c>
      <c r="I10" s="35" t="s">
        <v>408</v>
      </c>
      <c r="J10" s="13" t="s">
        <v>410</v>
      </c>
    </row>
    <row r="11" spans="2:11" ht="45" customHeight="1" x14ac:dyDescent="0.2">
      <c r="B11" s="14">
        <v>4</v>
      </c>
      <c r="C11" s="15"/>
      <c r="D11" s="15"/>
      <c r="E11" s="15" t="s">
        <v>70</v>
      </c>
      <c r="F11" s="16" t="s">
        <v>177</v>
      </c>
      <c r="G11" s="16" t="s">
        <v>418</v>
      </c>
      <c r="H11" s="15" t="s">
        <v>11</v>
      </c>
      <c r="I11" s="36" t="s">
        <v>419</v>
      </c>
      <c r="J11" s="16" t="s">
        <v>420</v>
      </c>
    </row>
    <row r="12" spans="2:11" ht="45" customHeight="1" x14ac:dyDescent="0.2">
      <c r="B12" s="11">
        <v>5</v>
      </c>
      <c r="C12" s="12"/>
      <c r="D12" s="12"/>
      <c r="E12" s="12" t="s">
        <v>66</v>
      </c>
      <c r="F12" s="13" t="s">
        <v>178</v>
      </c>
      <c r="G12" s="13" t="s">
        <v>381</v>
      </c>
      <c r="H12" s="12" t="s">
        <v>15</v>
      </c>
      <c r="I12" s="13" t="s">
        <v>382</v>
      </c>
      <c r="J12" s="24" t="s">
        <v>384</v>
      </c>
    </row>
    <row r="13" spans="2:11" ht="45" customHeight="1" x14ac:dyDescent="0.2">
      <c r="B13" s="14">
        <v>6</v>
      </c>
      <c r="C13" s="15"/>
      <c r="D13" s="15"/>
      <c r="E13" s="15" t="s">
        <v>66</v>
      </c>
      <c r="F13" s="16" t="s">
        <v>179</v>
      </c>
      <c r="G13" s="36" t="s">
        <v>421</v>
      </c>
      <c r="H13" s="15" t="s">
        <v>13</v>
      </c>
      <c r="I13" s="16" t="s">
        <v>422</v>
      </c>
      <c r="J13" s="16" t="s">
        <v>423</v>
      </c>
    </row>
    <row r="14" spans="2:11" ht="45" customHeight="1" x14ac:dyDescent="0.2">
      <c r="B14" s="11">
        <v>7</v>
      </c>
      <c r="C14" s="12"/>
      <c r="D14" s="12"/>
      <c r="E14" s="12" t="s">
        <v>72</v>
      </c>
      <c r="F14" s="13" t="s">
        <v>180</v>
      </c>
      <c r="G14" s="13" t="s">
        <v>386</v>
      </c>
      <c r="H14" s="12" t="s">
        <v>11</v>
      </c>
      <c r="I14" s="13" t="s">
        <v>387</v>
      </c>
      <c r="J14" s="40" t="s">
        <v>388</v>
      </c>
    </row>
    <row r="15" spans="2:11" ht="45" customHeight="1" x14ac:dyDescent="0.2">
      <c r="B15" s="14">
        <v>8</v>
      </c>
      <c r="C15" s="15"/>
      <c r="D15" s="15"/>
      <c r="E15" s="15" t="s">
        <v>70</v>
      </c>
      <c r="F15" s="16" t="s">
        <v>181</v>
      </c>
      <c r="G15" s="16" t="s">
        <v>426</v>
      </c>
      <c r="H15" s="15" t="s">
        <v>13</v>
      </c>
      <c r="I15" s="16" t="s">
        <v>427</v>
      </c>
      <c r="J15" s="16" t="s">
        <v>428</v>
      </c>
    </row>
    <row r="16" spans="2:11" ht="45" customHeight="1" x14ac:dyDescent="0.2">
      <c r="B16" s="11">
        <v>9</v>
      </c>
      <c r="C16" s="12"/>
      <c r="D16" s="12"/>
      <c r="E16" s="12" t="s">
        <v>70</v>
      </c>
      <c r="F16" s="13" t="s">
        <v>182</v>
      </c>
      <c r="G16" s="13" t="s">
        <v>389</v>
      </c>
      <c r="H16" s="12" t="s">
        <v>15</v>
      </c>
      <c r="I16" s="13" t="s">
        <v>390</v>
      </c>
      <c r="J16" s="13" t="s">
        <v>392</v>
      </c>
    </row>
    <row r="17" spans="2:10" ht="45" customHeight="1" x14ac:dyDescent="0.2">
      <c r="B17" s="14">
        <v>10</v>
      </c>
      <c r="C17" s="15"/>
      <c r="D17" s="15"/>
      <c r="E17" s="15" t="s">
        <v>64</v>
      </c>
      <c r="F17" s="16" t="s">
        <v>183</v>
      </c>
      <c r="G17" s="36" t="s">
        <v>432</v>
      </c>
      <c r="H17" s="15" t="s">
        <v>13</v>
      </c>
      <c r="I17" s="16" t="s">
        <v>433</v>
      </c>
      <c r="J17" s="16" t="s">
        <v>434</v>
      </c>
    </row>
    <row r="18" spans="2:10" ht="45" customHeight="1" x14ac:dyDescent="0.2">
      <c r="B18" s="11">
        <v>11</v>
      </c>
      <c r="C18" s="12"/>
      <c r="D18" s="12"/>
      <c r="E18" s="12" t="s">
        <v>66</v>
      </c>
      <c r="F18" s="13" t="s">
        <v>184</v>
      </c>
      <c r="G18" s="13" t="s">
        <v>395</v>
      </c>
      <c r="H18" s="12" t="s">
        <v>11</v>
      </c>
      <c r="I18" s="13" t="s">
        <v>396</v>
      </c>
      <c r="J18" s="24" t="s">
        <v>397</v>
      </c>
    </row>
    <row r="19" spans="2:10" ht="45" customHeight="1" x14ac:dyDescent="0.2">
      <c r="B19" s="14">
        <v>12</v>
      </c>
      <c r="C19" s="15"/>
      <c r="D19" s="15"/>
      <c r="E19" s="15" t="s">
        <v>64</v>
      </c>
      <c r="F19" s="16" t="s">
        <v>185</v>
      </c>
      <c r="G19" s="16" t="s">
        <v>442</v>
      </c>
      <c r="H19" s="15" t="s">
        <v>13</v>
      </c>
      <c r="I19" s="16" t="s">
        <v>443</v>
      </c>
      <c r="J19" s="16" t="s">
        <v>434</v>
      </c>
    </row>
    <row r="20" spans="2:10" ht="45" customHeight="1" x14ac:dyDescent="0.2">
      <c r="B20" s="11">
        <v>13</v>
      </c>
      <c r="C20" s="12"/>
      <c r="D20" s="12"/>
      <c r="E20" s="12" t="s">
        <v>70</v>
      </c>
      <c r="F20" s="13" t="s">
        <v>186</v>
      </c>
      <c r="G20" s="13" t="s">
        <v>398</v>
      </c>
      <c r="H20" s="12" t="s">
        <v>13</v>
      </c>
      <c r="I20" s="13" t="s">
        <v>399</v>
      </c>
      <c r="J20" s="13" t="s">
        <v>400</v>
      </c>
    </row>
    <row r="21" spans="2:10" ht="45" customHeight="1" x14ac:dyDescent="0.2">
      <c r="B21" s="14">
        <v>14</v>
      </c>
      <c r="C21" s="15"/>
      <c r="D21" s="15"/>
      <c r="E21" s="15" t="s">
        <v>70</v>
      </c>
      <c r="F21" s="16" t="s">
        <v>187</v>
      </c>
      <c r="G21" s="16" t="s">
        <v>447</v>
      </c>
      <c r="H21" s="15" t="s">
        <v>11</v>
      </c>
      <c r="I21" s="16" t="s">
        <v>448</v>
      </c>
      <c r="J21" s="16" t="s">
        <v>449</v>
      </c>
    </row>
    <row r="22" spans="2:10" ht="45" customHeight="1" x14ac:dyDescent="0.2">
      <c r="B22" s="11">
        <v>15</v>
      </c>
      <c r="C22" s="12"/>
      <c r="D22" s="12"/>
      <c r="E22" s="12" t="s">
        <v>66</v>
      </c>
      <c r="F22" s="13" t="s">
        <v>188</v>
      </c>
      <c r="G22" s="13" t="s">
        <v>402</v>
      </c>
      <c r="H22" s="12" t="s">
        <v>11</v>
      </c>
      <c r="I22" s="13" t="s">
        <v>404</v>
      </c>
      <c r="J22" s="13" t="s">
        <v>397</v>
      </c>
    </row>
    <row r="23" spans="2:10" ht="45" customHeight="1" x14ac:dyDescent="0.2">
      <c r="B23" s="14">
        <v>16</v>
      </c>
      <c r="C23" s="15"/>
      <c r="D23" s="15"/>
      <c r="E23" s="15" t="s">
        <v>70</v>
      </c>
      <c r="F23" s="16" t="s">
        <v>189</v>
      </c>
      <c r="G23" s="16" t="s">
        <v>450</v>
      </c>
      <c r="H23" s="15" t="s">
        <v>11</v>
      </c>
      <c r="I23" s="16" t="s">
        <v>451</v>
      </c>
      <c r="J23" s="16" t="s">
        <v>452</v>
      </c>
    </row>
    <row r="24" spans="2:10" ht="45" customHeight="1" x14ac:dyDescent="0.2">
      <c r="B24" s="11">
        <v>17</v>
      </c>
      <c r="C24" s="12"/>
      <c r="D24" s="12"/>
      <c r="E24" s="12" t="s">
        <v>62</v>
      </c>
      <c r="F24" s="13" t="s">
        <v>190</v>
      </c>
      <c r="G24" s="13" t="s">
        <v>430</v>
      </c>
      <c r="H24" s="12" t="s">
        <v>13</v>
      </c>
      <c r="I24" s="13" t="s">
        <v>431</v>
      </c>
      <c r="J24" s="24" t="s">
        <v>435</v>
      </c>
    </row>
    <row r="25" spans="2:10" ht="45" customHeight="1" x14ac:dyDescent="0.2">
      <c r="B25" s="14">
        <v>18</v>
      </c>
      <c r="C25" s="15"/>
      <c r="D25" s="15"/>
      <c r="E25" s="15" t="s">
        <v>62</v>
      </c>
      <c r="F25" s="16" t="s">
        <v>191</v>
      </c>
      <c r="G25" s="16" t="s">
        <v>409</v>
      </c>
      <c r="H25" s="15" t="s">
        <v>11</v>
      </c>
      <c r="I25" s="16" t="s">
        <v>479</v>
      </c>
      <c r="J25" s="16" t="s">
        <v>480</v>
      </c>
    </row>
    <row r="26" spans="2:10" ht="45" customHeight="1" x14ac:dyDescent="0.2">
      <c r="B26" s="11">
        <v>19</v>
      </c>
      <c r="C26" s="12"/>
      <c r="D26" s="12"/>
      <c r="E26" s="12" t="s">
        <v>72</v>
      </c>
      <c r="F26" s="13" t="s">
        <v>192</v>
      </c>
      <c r="G26" s="13" t="s">
        <v>436</v>
      </c>
      <c r="H26" s="12" t="s">
        <v>11</v>
      </c>
      <c r="I26" s="13" t="s">
        <v>437</v>
      </c>
      <c r="J26" s="13" t="s">
        <v>438</v>
      </c>
    </row>
    <row r="27" spans="2:10" ht="45" customHeight="1" x14ac:dyDescent="0.2">
      <c r="B27" s="14">
        <v>20</v>
      </c>
      <c r="C27" s="15"/>
      <c r="D27" s="15"/>
      <c r="E27" s="15" t="s">
        <v>62</v>
      </c>
      <c r="F27" s="16" t="s">
        <v>193</v>
      </c>
      <c r="G27" s="16" t="s">
        <v>490</v>
      </c>
      <c r="H27" s="15" t="s">
        <v>15</v>
      </c>
      <c r="I27" s="16" t="s">
        <v>491</v>
      </c>
      <c r="J27" s="16" t="s">
        <v>492</v>
      </c>
    </row>
    <row r="28" spans="2:10" ht="45" customHeight="1" x14ac:dyDescent="0.2">
      <c r="B28" s="11">
        <v>21</v>
      </c>
      <c r="C28" s="12"/>
      <c r="D28" s="12"/>
      <c r="E28" s="12" t="s">
        <v>66</v>
      </c>
      <c r="F28" s="13" t="s">
        <v>194</v>
      </c>
      <c r="G28" s="13" t="s">
        <v>462</v>
      </c>
      <c r="H28" s="12" t="s">
        <v>13</v>
      </c>
      <c r="I28" s="13" t="s">
        <v>464</v>
      </c>
      <c r="J28" s="13" t="s">
        <v>465</v>
      </c>
    </row>
    <row r="29" spans="2:10" ht="45" customHeight="1" x14ac:dyDescent="0.2">
      <c r="B29" s="14">
        <v>22</v>
      </c>
      <c r="C29" s="15"/>
      <c r="D29" s="15"/>
      <c r="E29" s="15" t="s">
        <v>70</v>
      </c>
      <c r="F29" s="16" t="s">
        <v>195</v>
      </c>
      <c r="G29" s="16" t="s">
        <v>493</v>
      </c>
      <c r="H29" s="15" t="s">
        <v>15</v>
      </c>
      <c r="I29" s="24" t="s">
        <v>494</v>
      </c>
      <c r="J29" s="16" t="s">
        <v>495</v>
      </c>
    </row>
    <row r="30" spans="2:10" ht="45" customHeight="1" x14ac:dyDescent="0.2">
      <c r="B30" s="11">
        <v>23</v>
      </c>
      <c r="C30" s="12"/>
      <c r="D30" s="12"/>
      <c r="E30" s="12" t="s">
        <v>66</v>
      </c>
      <c r="F30" s="13" t="s">
        <v>196</v>
      </c>
      <c r="G30" s="13" t="s">
        <v>466</v>
      </c>
      <c r="H30" s="12" t="s">
        <v>11</v>
      </c>
      <c r="I30" s="13" t="s">
        <v>496</v>
      </c>
      <c r="J30" s="13" t="s">
        <v>467</v>
      </c>
    </row>
    <row r="31" spans="2:10" ht="45" customHeight="1" x14ac:dyDescent="0.2">
      <c r="B31" s="14">
        <v>24</v>
      </c>
      <c r="C31" s="15"/>
      <c r="D31" s="15"/>
      <c r="E31" s="15" t="s">
        <v>70</v>
      </c>
      <c r="F31" s="16" t="s">
        <v>197</v>
      </c>
      <c r="G31" s="16" t="s">
        <v>502</v>
      </c>
      <c r="H31" s="15" t="s">
        <v>11</v>
      </c>
      <c r="I31" t="s">
        <v>503</v>
      </c>
      <c r="J31" t="s">
        <v>505</v>
      </c>
    </row>
    <row r="32" spans="2:10" ht="45" customHeight="1" x14ac:dyDescent="0.2">
      <c r="B32" s="11">
        <v>25</v>
      </c>
      <c r="C32" s="12"/>
      <c r="D32" s="12"/>
      <c r="E32" s="12" t="s">
        <v>62</v>
      </c>
      <c r="F32" s="13" t="s">
        <v>198</v>
      </c>
      <c r="G32" s="13" t="s">
        <v>511</v>
      </c>
      <c r="H32" s="12" t="s">
        <v>11</v>
      </c>
      <c r="I32" s="13" t="s">
        <v>513</v>
      </c>
      <c r="J32" s="43" t="s">
        <v>519</v>
      </c>
    </row>
    <row r="33" spans="2:10" ht="45" customHeight="1" x14ac:dyDescent="0.2">
      <c r="B33" s="14">
        <v>26</v>
      </c>
      <c r="C33" s="15"/>
      <c r="D33" s="15"/>
      <c r="E33" s="15" t="s">
        <v>64</v>
      </c>
      <c r="F33" s="16" t="s">
        <v>199</v>
      </c>
      <c r="G33" s="16" t="s">
        <v>468</v>
      </c>
      <c r="H33" s="15" t="s">
        <v>11</v>
      </c>
      <c r="I33" s="16" t="s">
        <v>469</v>
      </c>
      <c r="J33" s="16" t="s">
        <v>470</v>
      </c>
    </row>
    <row r="34" spans="2:10" ht="45" customHeight="1" x14ac:dyDescent="0.2">
      <c r="B34" s="11">
        <v>27</v>
      </c>
      <c r="C34" s="12"/>
      <c r="D34" s="12"/>
      <c r="E34" s="12" t="s">
        <v>64</v>
      </c>
      <c r="F34" s="13" t="s">
        <v>200</v>
      </c>
      <c r="G34" s="13" t="s">
        <v>525</v>
      </c>
      <c r="H34" s="12" t="s">
        <v>15</v>
      </c>
      <c r="I34" s="13" t="s">
        <v>526</v>
      </c>
      <c r="J34" s="13" t="s">
        <v>529</v>
      </c>
    </row>
    <row r="35" spans="2:10" ht="45" customHeight="1" x14ac:dyDescent="0.2">
      <c r="B35" s="14">
        <v>28</v>
      </c>
      <c r="C35" s="15"/>
      <c r="D35" s="15"/>
      <c r="E35" s="15" t="s">
        <v>70</v>
      </c>
      <c r="F35" s="16" t="s">
        <v>201</v>
      </c>
      <c r="G35" s="16" t="s">
        <v>527</v>
      </c>
      <c r="H35" s="15" t="s">
        <v>15</v>
      </c>
      <c r="I35" s="24" t="s">
        <v>528</v>
      </c>
      <c r="J35" s="16" t="s">
        <v>530</v>
      </c>
    </row>
    <row r="36" spans="2:10" ht="45" customHeight="1" x14ac:dyDescent="0.2">
      <c r="B36" s="11">
        <v>29</v>
      </c>
      <c r="C36" s="12"/>
      <c r="D36" s="12"/>
      <c r="E36" s="12" t="s">
        <v>70</v>
      </c>
      <c r="F36" s="13" t="s">
        <v>202</v>
      </c>
      <c r="G36" s="13" t="s">
        <v>570</v>
      </c>
      <c r="H36" s="12" t="s">
        <v>15</v>
      </c>
      <c r="I36" s="24" t="s">
        <v>575</v>
      </c>
      <c r="J36" s="13" t="s">
        <v>576</v>
      </c>
    </row>
    <row r="37" spans="2:10" ht="45" customHeight="1" x14ac:dyDescent="0.2">
      <c r="B37" s="14">
        <v>30</v>
      </c>
      <c r="C37" s="15"/>
      <c r="D37" s="15"/>
      <c r="E37" s="15" t="s">
        <v>70</v>
      </c>
      <c r="F37" s="16" t="s">
        <v>203</v>
      </c>
      <c r="G37" s="24" t="s">
        <v>626</v>
      </c>
      <c r="H37" s="15" t="s">
        <v>13</v>
      </c>
      <c r="I37" s="16" t="s">
        <v>632</v>
      </c>
      <c r="J37" s="16" t="s">
        <v>634</v>
      </c>
    </row>
    <row r="38" spans="2:10" ht="45" customHeight="1" x14ac:dyDescent="0.2">
      <c r="B38" s="11">
        <v>31</v>
      </c>
      <c r="C38" s="12"/>
      <c r="D38" s="12"/>
      <c r="E38" s="12" t="s">
        <v>70</v>
      </c>
      <c r="F38" s="13" t="s">
        <v>204</v>
      </c>
      <c r="G38" s="13" t="s">
        <v>637</v>
      </c>
      <c r="H38" s="12" t="s">
        <v>11</v>
      </c>
      <c r="I38" s="13" t="s">
        <v>638</v>
      </c>
      <c r="J38" s="13" t="s">
        <v>640</v>
      </c>
    </row>
    <row r="39" spans="2:10" ht="45" customHeight="1" x14ac:dyDescent="0.2">
      <c r="B39" s="14">
        <v>32</v>
      </c>
      <c r="C39" s="15"/>
      <c r="D39" s="15"/>
      <c r="E39" s="15" t="s">
        <v>66</v>
      </c>
      <c r="F39" s="16" t="s">
        <v>205</v>
      </c>
      <c r="G39" s="16" t="s">
        <v>643</v>
      </c>
      <c r="H39" s="15" t="s">
        <v>11</v>
      </c>
      <c r="I39" s="16" t="s">
        <v>645</v>
      </c>
      <c r="J39" s="16" t="s">
        <v>646</v>
      </c>
    </row>
    <row r="40" spans="2:10" ht="45" customHeight="1" x14ac:dyDescent="0.2">
      <c r="B40" s="11">
        <v>33</v>
      </c>
      <c r="C40" s="12"/>
      <c r="D40" s="12"/>
      <c r="E40" s="12" t="s">
        <v>66</v>
      </c>
      <c r="F40" s="13" t="s">
        <v>206</v>
      </c>
      <c r="G40" s="13" t="s">
        <v>656</v>
      </c>
      <c r="H40" s="12" t="s">
        <v>11</v>
      </c>
      <c r="I40" s="13" t="s">
        <v>657</v>
      </c>
      <c r="J40" s="13" t="s">
        <v>658</v>
      </c>
    </row>
    <row r="41" spans="2:10" ht="45" customHeight="1" x14ac:dyDescent="0.2">
      <c r="B41" s="14">
        <v>34</v>
      </c>
      <c r="C41" s="15"/>
      <c r="D41" s="15"/>
      <c r="E41" s="15" t="s">
        <v>70</v>
      </c>
      <c r="F41" s="16" t="s">
        <v>207</v>
      </c>
      <c r="G41" s="16" t="s">
        <v>683</v>
      </c>
      <c r="H41" s="15" t="s">
        <v>15</v>
      </c>
      <c r="I41" s="16" t="s">
        <v>684</v>
      </c>
      <c r="J41" s="16" t="s">
        <v>685</v>
      </c>
    </row>
    <row r="42" spans="2:10" ht="45" customHeight="1" x14ac:dyDescent="0.2">
      <c r="B42" s="11">
        <v>35</v>
      </c>
      <c r="C42" s="12"/>
      <c r="D42" s="12"/>
      <c r="E42" s="12" t="s">
        <v>64</v>
      </c>
      <c r="F42" s="13" t="s">
        <v>208</v>
      </c>
      <c r="G42" s="13" t="s">
        <v>692</v>
      </c>
      <c r="H42" s="12" t="s">
        <v>15</v>
      </c>
      <c r="I42" s="13" t="s">
        <v>693</v>
      </c>
      <c r="J42" s="13" t="s">
        <v>701</v>
      </c>
    </row>
    <row r="43" spans="2:10" ht="45" customHeight="1" x14ac:dyDescent="0.2">
      <c r="B43" s="14">
        <v>36</v>
      </c>
      <c r="C43" s="15"/>
      <c r="D43" s="15"/>
      <c r="E43" s="15" t="s">
        <v>64</v>
      </c>
      <c r="F43" s="16" t="s">
        <v>209</v>
      </c>
      <c r="G43" s="16" t="s">
        <v>697</v>
      </c>
      <c r="H43" s="15" t="s">
        <v>11</v>
      </c>
      <c r="I43" s="16" t="s">
        <v>698</v>
      </c>
      <c r="J43" s="16" t="s">
        <v>699</v>
      </c>
    </row>
    <row r="44" spans="2:10" ht="45" customHeight="1" x14ac:dyDescent="0.2">
      <c r="B44" s="11">
        <v>37</v>
      </c>
      <c r="C44" s="12"/>
      <c r="D44" s="12"/>
      <c r="E44" s="12" t="s">
        <v>62</v>
      </c>
      <c r="F44" s="13" t="s">
        <v>210</v>
      </c>
      <c r="G44" s="13" t="s">
        <v>712</v>
      </c>
      <c r="H44" s="12" t="s">
        <v>13</v>
      </c>
      <c r="I44" s="13" t="s">
        <v>713</v>
      </c>
      <c r="J44" s="13" t="s">
        <v>714</v>
      </c>
    </row>
    <row r="45" spans="2:10" ht="45" customHeight="1" x14ac:dyDescent="0.2">
      <c r="B45" s="14">
        <v>38</v>
      </c>
      <c r="C45" s="15"/>
      <c r="D45" s="15"/>
      <c r="E45" s="15" t="s">
        <v>62</v>
      </c>
      <c r="F45" s="16" t="s">
        <v>211</v>
      </c>
      <c r="G45" s="16" t="s">
        <v>715</v>
      </c>
      <c r="H45" s="15" t="s">
        <v>13</v>
      </c>
      <c r="I45" s="16" t="s">
        <v>716</v>
      </c>
      <c r="J45" s="16" t="s">
        <v>741</v>
      </c>
    </row>
    <row r="46" spans="2:10" ht="45" customHeight="1" x14ac:dyDescent="0.2">
      <c r="B46" s="11">
        <v>39</v>
      </c>
      <c r="C46" s="12"/>
      <c r="D46" s="12"/>
      <c r="E46" s="12" t="s">
        <v>72</v>
      </c>
      <c r="F46" s="13" t="s">
        <v>212</v>
      </c>
      <c r="G46" s="13" t="s">
        <v>774</v>
      </c>
      <c r="H46" s="12" t="s">
        <v>11</v>
      </c>
      <c r="I46" s="13" t="s">
        <v>775</v>
      </c>
      <c r="J46" t="s">
        <v>793</v>
      </c>
    </row>
    <row r="47" spans="2:10" ht="45" customHeight="1" x14ac:dyDescent="0.2">
      <c r="B47" s="14">
        <v>40</v>
      </c>
      <c r="C47" s="15"/>
      <c r="D47" s="15"/>
      <c r="E47" s="15" t="s">
        <v>66</v>
      </c>
      <c r="F47" s="16" t="s">
        <v>213</v>
      </c>
      <c r="G47" s="24" t="s">
        <v>797</v>
      </c>
      <c r="H47" s="15" t="s">
        <v>11</v>
      </c>
      <c r="I47" s="16" t="s">
        <v>798</v>
      </c>
      <c r="J47" s="16" t="s">
        <v>800</v>
      </c>
    </row>
    <row r="48" spans="2:10" ht="45" customHeight="1" x14ac:dyDescent="0.2">
      <c r="B48" s="11">
        <v>41</v>
      </c>
      <c r="C48" s="12"/>
      <c r="D48" s="12"/>
      <c r="E48" s="12" t="s">
        <v>64</v>
      </c>
      <c r="F48" s="13" t="s">
        <v>214</v>
      </c>
      <c r="G48" s="13" t="s">
        <v>827</v>
      </c>
      <c r="H48" s="12" t="s">
        <v>11</v>
      </c>
      <c r="I48" s="24" t="s">
        <v>828</v>
      </c>
      <c r="J48" s="13" t="s">
        <v>829</v>
      </c>
    </row>
    <row r="49" spans="2:10" ht="45" customHeight="1" x14ac:dyDescent="0.2">
      <c r="B49" s="14">
        <v>42</v>
      </c>
      <c r="C49" s="15"/>
      <c r="D49" s="15"/>
      <c r="E49" s="15" t="s">
        <v>64</v>
      </c>
      <c r="F49" s="16" t="s">
        <v>215</v>
      </c>
      <c r="G49" s="16" t="s">
        <v>835</v>
      </c>
      <c r="H49" s="15" t="s">
        <v>11</v>
      </c>
      <c r="I49" s="16" t="s">
        <v>837</v>
      </c>
      <c r="J49" s="16" t="s">
        <v>438</v>
      </c>
    </row>
    <row r="50" spans="2:10" ht="45" customHeight="1" x14ac:dyDescent="0.2">
      <c r="B50" s="11">
        <v>43</v>
      </c>
      <c r="C50" s="12"/>
      <c r="D50" s="12"/>
      <c r="E50" s="12" t="s">
        <v>70</v>
      </c>
      <c r="F50" s="13" t="s">
        <v>216</v>
      </c>
      <c r="G50" s="13" t="s">
        <v>842</v>
      </c>
      <c r="H50" s="12" t="s">
        <v>13</v>
      </c>
      <c r="I50" s="13" t="s">
        <v>843</v>
      </c>
      <c r="J50" s="13" t="s">
        <v>844</v>
      </c>
    </row>
    <row r="51" spans="2:10" ht="45" customHeight="1" x14ac:dyDescent="0.2">
      <c r="B51" s="14">
        <v>44</v>
      </c>
      <c r="C51" s="15"/>
      <c r="D51" s="15"/>
      <c r="E51" s="15" t="s">
        <v>70</v>
      </c>
      <c r="F51" s="16" t="s">
        <v>217</v>
      </c>
      <c r="G51" s="16" t="s">
        <v>848</v>
      </c>
      <c r="H51" s="15" t="s">
        <v>15</v>
      </c>
      <c r="I51" s="16" t="s">
        <v>849</v>
      </c>
      <c r="J51" s="16" t="s">
        <v>850</v>
      </c>
    </row>
    <row r="52" spans="2:10" ht="45" customHeight="1" x14ac:dyDescent="0.2">
      <c r="B52" s="11">
        <v>45</v>
      </c>
      <c r="C52" s="12"/>
      <c r="D52" s="12"/>
      <c r="E52" s="12" t="s">
        <v>66</v>
      </c>
      <c r="F52" s="13" t="s">
        <v>218</v>
      </c>
      <c r="G52" s="13" t="s">
        <v>851</v>
      </c>
      <c r="H52" s="12" t="s">
        <v>11</v>
      </c>
      <c r="I52" s="13" t="s">
        <v>852</v>
      </c>
      <c r="J52" s="13" t="s">
        <v>853</v>
      </c>
    </row>
    <row r="53" spans="2:10" ht="45" customHeight="1" x14ac:dyDescent="0.2">
      <c r="B53" s="14">
        <v>46</v>
      </c>
      <c r="C53" s="15"/>
      <c r="D53" s="15"/>
      <c r="E53" s="15" t="s">
        <v>64</v>
      </c>
      <c r="F53" s="16" t="s">
        <v>219</v>
      </c>
      <c r="G53" s="16" t="s">
        <v>938</v>
      </c>
      <c r="H53" s="15" t="s">
        <v>15</v>
      </c>
      <c r="I53" s="16" t="s">
        <v>939</v>
      </c>
      <c r="J53" s="16" t="s">
        <v>940</v>
      </c>
    </row>
    <row r="54" spans="2:10" ht="45" customHeight="1" x14ac:dyDescent="0.2">
      <c r="B54" s="11">
        <v>47</v>
      </c>
      <c r="C54" s="12"/>
      <c r="D54" s="12"/>
      <c r="E54" s="12" t="s">
        <v>62</v>
      </c>
      <c r="F54" s="13" t="s">
        <v>220</v>
      </c>
      <c r="G54" s="13" t="s">
        <v>941</v>
      </c>
      <c r="H54" s="12" t="s">
        <v>15</v>
      </c>
      <c r="I54" s="13" t="s">
        <v>942</v>
      </c>
      <c r="J54" s="13" t="s">
        <v>943</v>
      </c>
    </row>
    <row r="55" spans="2:10" ht="45" customHeight="1" x14ac:dyDescent="0.2">
      <c r="B55" s="14">
        <v>48</v>
      </c>
      <c r="C55" s="15"/>
      <c r="D55" s="15"/>
      <c r="E55" s="15" t="s">
        <v>64</v>
      </c>
      <c r="F55" s="16" t="s">
        <v>221</v>
      </c>
      <c r="G55" s="16" t="s">
        <v>944</v>
      </c>
      <c r="H55" s="15" t="s">
        <v>15</v>
      </c>
      <c r="I55" s="16" t="s">
        <v>945</v>
      </c>
      <c r="J55" s="16" t="s">
        <v>946</v>
      </c>
    </row>
    <row r="56" spans="2:10" ht="45" customHeight="1" x14ac:dyDescent="0.2">
      <c r="B56" s="11">
        <v>49</v>
      </c>
      <c r="C56" s="12"/>
      <c r="D56" s="12"/>
      <c r="E56" s="12" t="s">
        <v>66</v>
      </c>
      <c r="F56" s="13" t="s">
        <v>222</v>
      </c>
      <c r="G56" s="13" t="s">
        <v>950</v>
      </c>
      <c r="H56" s="12" t="s">
        <v>11</v>
      </c>
      <c r="I56" s="24" t="s">
        <v>951</v>
      </c>
      <c r="J56" s="43" t="s">
        <v>952</v>
      </c>
    </row>
    <row r="57" spans="2:10" ht="45" customHeight="1" x14ac:dyDescent="0.2">
      <c r="B57" s="14">
        <v>50</v>
      </c>
      <c r="C57" s="15"/>
      <c r="D57" s="15"/>
      <c r="E57" s="15" t="s">
        <v>66</v>
      </c>
      <c r="F57" s="16" t="s">
        <v>223</v>
      </c>
      <c r="G57" s="16" t="s">
        <v>956</v>
      </c>
      <c r="H57" s="15" t="s">
        <v>13</v>
      </c>
      <c r="I57" s="16" t="s">
        <v>957</v>
      </c>
      <c r="J57" s="16" t="s">
        <v>958</v>
      </c>
    </row>
    <row r="58" spans="2:10" ht="45" customHeight="1" x14ac:dyDescent="0.2">
      <c r="B58" s="11">
        <v>51</v>
      </c>
      <c r="C58" s="12"/>
      <c r="D58" s="12"/>
      <c r="E58" s="12" t="s">
        <v>117</v>
      </c>
      <c r="F58" s="13" t="s">
        <v>224</v>
      </c>
      <c r="G58" s="13" t="s">
        <v>962</v>
      </c>
      <c r="H58" s="12" t="s">
        <v>13</v>
      </c>
      <c r="I58" s="13" t="s">
        <v>963</v>
      </c>
      <c r="J58" s="24" t="s">
        <v>964</v>
      </c>
    </row>
    <row r="59" spans="2:10" ht="45" customHeight="1" x14ac:dyDescent="0.2">
      <c r="B59" s="14">
        <v>52</v>
      </c>
      <c r="C59" s="15"/>
      <c r="D59" s="15"/>
      <c r="E59" s="15" t="s">
        <v>117</v>
      </c>
      <c r="F59" s="16" t="s">
        <v>225</v>
      </c>
      <c r="G59" s="16" t="s">
        <v>965</v>
      </c>
      <c r="H59" s="15" t="s">
        <v>13</v>
      </c>
      <c r="I59" s="16" t="s">
        <v>966</v>
      </c>
      <c r="J59" s="16" t="s">
        <v>967</v>
      </c>
    </row>
    <row r="60" spans="2:10" ht="45" customHeight="1" x14ac:dyDescent="0.2">
      <c r="B60" s="11">
        <v>53</v>
      </c>
      <c r="C60" s="12"/>
      <c r="D60" s="12"/>
      <c r="E60" s="12" t="s">
        <v>117</v>
      </c>
      <c r="F60" s="13" t="s">
        <v>226</v>
      </c>
      <c r="G60" s="13" t="s">
        <v>968</v>
      </c>
      <c r="H60" s="12" t="s">
        <v>13</v>
      </c>
      <c r="I60" s="13" t="s">
        <v>969</v>
      </c>
      <c r="J60" s="13" t="s">
        <v>970</v>
      </c>
    </row>
    <row r="61" spans="2:10" ht="45" customHeight="1" x14ac:dyDescent="0.2">
      <c r="B61" s="14">
        <v>54</v>
      </c>
      <c r="C61" s="15"/>
      <c r="D61" s="15"/>
      <c r="E61" s="15" t="s">
        <v>117</v>
      </c>
      <c r="F61" s="16" t="s">
        <v>227</v>
      </c>
      <c r="G61" s="16" t="s">
        <v>1001</v>
      </c>
      <c r="H61" s="15" t="s">
        <v>11</v>
      </c>
      <c r="I61" s="16" t="s">
        <v>1003</v>
      </c>
      <c r="J61" s="16" t="s">
        <v>1004</v>
      </c>
    </row>
    <row r="62" spans="2:10" ht="45" customHeight="1" x14ac:dyDescent="0.2">
      <c r="B62" s="11">
        <v>55</v>
      </c>
      <c r="C62" s="12"/>
      <c r="D62" s="12"/>
      <c r="E62" s="12" t="s">
        <v>117</v>
      </c>
      <c r="F62" s="13" t="s">
        <v>228</v>
      </c>
      <c r="G62" s="13" t="s">
        <v>1020</v>
      </c>
      <c r="H62" s="12" t="s">
        <v>11</v>
      </c>
      <c r="I62" s="13" t="s">
        <v>1022</v>
      </c>
      <c r="J62" s="13" t="s">
        <v>1023</v>
      </c>
    </row>
    <row r="63" spans="2:10" ht="45" customHeight="1" x14ac:dyDescent="0.2">
      <c r="B63" s="14">
        <v>56</v>
      </c>
      <c r="C63" s="15"/>
      <c r="D63" s="15"/>
      <c r="E63" s="15" t="s">
        <v>117</v>
      </c>
      <c r="F63" s="16" t="s">
        <v>229</v>
      </c>
      <c r="G63" s="16" t="s">
        <v>1029</v>
      </c>
      <c r="H63" s="15" t="s">
        <v>11</v>
      </c>
      <c r="I63" s="16" t="s">
        <v>1003</v>
      </c>
      <c r="J63" s="16" t="s">
        <v>1030</v>
      </c>
    </row>
    <row r="64" spans="2:10" ht="45" customHeight="1" x14ac:dyDescent="0.2">
      <c r="B64" s="11">
        <v>57</v>
      </c>
      <c r="C64" s="12"/>
      <c r="D64" s="12"/>
      <c r="E64" s="12" t="s">
        <v>117</v>
      </c>
      <c r="F64" s="13" t="s">
        <v>230</v>
      </c>
      <c r="G64" s="13" t="s">
        <v>1034</v>
      </c>
      <c r="H64" s="12" t="s">
        <v>11</v>
      </c>
      <c r="I64" s="13" t="s">
        <v>1036</v>
      </c>
      <c r="J64" s="13" t="s">
        <v>1037</v>
      </c>
    </row>
    <row r="65" spans="2:10" ht="45" customHeight="1" x14ac:dyDescent="0.2">
      <c r="B65" s="14">
        <v>58</v>
      </c>
      <c r="C65" s="15"/>
      <c r="D65" s="15"/>
      <c r="E65" s="15" t="s">
        <v>117</v>
      </c>
      <c r="F65" s="16" t="s">
        <v>231</v>
      </c>
      <c r="G65" s="16" t="s">
        <v>1067</v>
      </c>
      <c r="H65" s="15" t="s">
        <v>15</v>
      </c>
      <c r="I65" s="16" t="s">
        <v>1096</v>
      </c>
      <c r="J65" s="49" t="s">
        <v>1097</v>
      </c>
    </row>
    <row r="66" spans="2:10" ht="45" customHeight="1" x14ac:dyDescent="0.2">
      <c r="B66" s="11">
        <v>59</v>
      </c>
      <c r="C66" s="12"/>
      <c r="D66" s="12"/>
      <c r="E66" s="12" t="s">
        <v>117</v>
      </c>
      <c r="F66" s="13" t="s">
        <v>232</v>
      </c>
      <c r="G66" s="13" t="s">
        <v>1098</v>
      </c>
      <c r="H66" s="12" t="s">
        <v>11</v>
      </c>
      <c r="I66" s="24" t="s">
        <v>1099</v>
      </c>
      <c r="J66" s="13" t="s">
        <v>1100</v>
      </c>
    </row>
    <row r="67" spans="2:10" ht="45" customHeight="1" x14ac:dyDescent="0.2">
      <c r="B67" s="14">
        <v>60</v>
      </c>
      <c r="C67" s="15"/>
      <c r="D67" s="15"/>
      <c r="E67" s="15" t="s">
        <v>117</v>
      </c>
      <c r="F67" s="16" t="s">
        <v>233</v>
      </c>
      <c r="G67" s="16" t="s">
        <v>1103</v>
      </c>
      <c r="H67" s="15" t="s">
        <v>11</v>
      </c>
      <c r="I67" s="16" t="s">
        <v>1022</v>
      </c>
      <c r="J67" s="16" t="s">
        <v>1023</v>
      </c>
    </row>
    <row r="68" spans="2:10" ht="45" customHeight="1" x14ac:dyDescent="0.2">
      <c r="B68" s="11">
        <v>61</v>
      </c>
      <c r="C68" s="12"/>
      <c r="D68" s="12"/>
      <c r="E68" s="12" t="s">
        <v>117</v>
      </c>
      <c r="F68" s="13" t="s">
        <v>234</v>
      </c>
      <c r="G68" s="13" t="s">
        <v>1109</v>
      </c>
      <c r="H68" s="12" t="s">
        <v>11</v>
      </c>
      <c r="I68" s="13" t="s">
        <v>1107</v>
      </c>
      <c r="J68" s="13" t="s">
        <v>1108</v>
      </c>
    </row>
    <row r="69" spans="2:10" ht="45" customHeight="1" x14ac:dyDescent="0.2">
      <c r="B69" s="14">
        <v>62</v>
      </c>
      <c r="C69" s="15"/>
      <c r="D69" s="15"/>
      <c r="E69" s="15" t="s">
        <v>117</v>
      </c>
      <c r="F69" s="16" t="s">
        <v>235</v>
      </c>
      <c r="G69" s="13" t="s">
        <v>1113</v>
      </c>
      <c r="H69" s="15" t="s">
        <v>11</v>
      </c>
      <c r="I69" s="16" t="s">
        <v>1114</v>
      </c>
      <c r="J69" s="16" t="s">
        <v>1004</v>
      </c>
    </row>
    <row r="70" spans="2:10" ht="45" customHeight="1" x14ac:dyDescent="0.2">
      <c r="B70" s="11">
        <v>63</v>
      </c>
      <c r="C70" s="12"/>
      <c r="D70" s="12"/>
      <c r="E70" s="12" t="s">
        <v>117</v>
      </c>
      <c r="F70" s="13" t="s">
        <v>236</v>
      </c>
      <c r="G70" s="50" t="s">
        <v>1115</v>
      </c>
      <c r="H70" s="12" t="s">
        <v>15</v>
      </c>
      <c r="I70" s="13" t="s">
        <v>1116</v>
      </c>
      <c r="J70" s="13" t="s">
        <v>1117</v>
      </c>
    </row>
    <row r="71" spans="2:10" ht="45" customHeight="1" x14ac:dyDescent="0.2">
      <c r="B71" s="14">
        <v>64</v>
      </c>
      <c r="C71" s="15"/>
      <c r="D71" s="15"/>
      <c r="E71" s="15" t="s">
        <v>117</v>
      </c>
      <c r="F71" s="16" t="s">
        <v>237</v>
      </c>
      <c r="G71" s="16" t="s">
        <v>1124</v>
      </c>
      <c r="H71" s="15" t="s">
        <v>13</v>
      </c>
      <c r="I71" s="16" t="s">
        <v>1125</v>
      </c>
      <c r="J71" s="16" t="s">
        <v>1126</v>
      </c>
    </row>
    <row r="72" spans="2:10" ht="45" customHeight="1" x14ac:dyDescent="0.2">
      <c r="B72" s="11">
        <v>65</v>
      </c>
      <c r="C72" s="12"/>
      <c r="D72" s="12"/>
      <c r="E72" s="12" t="s">
        <v>117</v>
      </c>
      <c r="F72" s="13" t="s">
        <v>238</v>
      </c>
      <c r="G72" s="13" t="s">
        <v>1130</v>
      </c>
      <c r="H72" s="12" t="s">
        <v>11</v>
      </c>
      <c r="I72" s="13" t="s">
        <v>1114</v>
      </c>
      <c r="J72" s="13" t="s">
        <v>1131</v>
      </c>
    </row>
    <row r="73" spans="2:10" ht="45" customHeight="1" x14ac:dyDescent="0.2">
      <c r="B73" s="14">
        <v>66</v>
      </c>
      <c r="C73" s="15"/>
      <c r="D73" s="15"/>
      <c r="E73" s="15" t="s">
        <v>117</v>
      </c>
      <c r="F73" s="16" t="s">
        <v>239</v>
      </c>
      <c r="G73" s="16" t="s">
        <v>1135</v>
      </c>
      <c r="H73" s="15" t="s">
        <v>13</v>
      </c>
      <c r="I73" s="16" t="s">
        <v>1136</v>
      </c>
      <c r="J73" s="16" t="s">
        <v>1137</v>
      </c>
    </row>
    <row r="74" spans="2:10" ht="45" customHeight="1" x14ac:dyDescent="0.2">
      <c r="B74" s="11">
        <v>67</v>
      </c>
      <c r="C74" s="12"/>
      <c r="D74" s="12"/>
      <c r="E74" s="12" t="s">
        <v>117</v>
      </c>
      <c r="F74" s="13" t="s">
        <v>240</v>
      </c>
      <c r="G74" s="13" t="s">
        <v>1147</v>
      </c>
      <c r="H74" s="12" t="s">
        <v>11</v>
      </c>
      <c r="I74" s="13" t="s">
        <v>1148</v>
      </c>
      <c r="J74" s="13" t="s">
        <v>1149</v>
      </c>
    </row>
    <row r="75" spans="2:10" ht="45" customHeight="1" x14ac:dyDescent="0.2">
      <c r="B75" s="14">
        <v>68</v>
      </c>
      <c r="C75" s="15"/>
      <c r="D75" s="15"/>
      <c r="E75" s="15" t="s">
        <v>117</v>
      </c>
      <c r="F75" s="16" t="s">
        <v>241</v>
      </c>
      <c r="G75" s="16" t="s">
        <v>1161</v>
      </c>
      <c r="H75" s="15" t="s">
        <v>15</v>
      </c>
      <c r="I75" s="16" t="s">
        <v>1162</v>
      </c>
      <c r="J75" s="16" t="s">
        <v>1163</v>
      </c>
    </row>
    <row r="76" spans="2:10" ht="45" customHeight="1" x14ac:dyDescent="0.2">
      <c r="B76" s="11">
        <v>69</v>
      </c>
      <c r="C76" s="12"/>
      <c r="D76" s="12"/>
      <c r="E76" s="12" t="s">
        <v>117</v>
      </c>
      <c r="F76" s="13" t="s">
        <v>242</v>
      </c>
      <c r="G76" s="13" t="s">
        <v>1164</v>
      </c>
      <c r="H76" s="12" t="s">
        <v>13</v>
      </c>
      <c r="I76" s="13" t="s">
        <v>1165</v>
      </c>
      <c r="J76" s="13" t="s">
        <v>1166</v>
      </c>
    </row>
    <row r="77" spans="2:10" ht="45" customHeight="1" x14ac:dyDescent="0.2">
      <c r="B77" s="14">
        <v>70</v>
      </c>
      <c r="C77" s="15"/>
      <c r="D77" s="15"/>
      <c r="E77" s="15" t="s">
        <v>117</v>
      </c>
      <c r="F77" s="16" t="s">
        <v>243</v>
      </c>
      <c r="G77" s="16" t="s">
        <v>1167</v>
      </c>
      <c r="H77" s="15" t="s">
        <v>13</v>
      </c>
      <c r="I77" s="16" t="s">
        <v>1168</v>
      </c>
      <c r="J77" s="16" t="s">
        <v>1100</v>
      </c>
    </row>
    <row r="78" spans="2:10" ht="45" customHeight="1" x14ac:dyDescent="0.2">
      <c r="B78" s="11">
        <v>71</v>
      </c>
      <c r="C78" s="12"/>
      <c r="D78" s="12"/>
      <c r="E78" s="12" t="s">
        <v>117</v>
      </c>
      <c r="F78" s="13" t="s">
        <v>244</v>
      </c>
      <c r="G78" s="13" t="s">
        <v>1169</v>
      </c>
      <c r="H78" s="12" t="s">
        <v>11</v>
      </c>
      <c r="I78" s="13" t="s">
        <v>1114</v>
      </c>
      <c r="J78" s="13" t="s">
        <v>397</v>
      </c>
    </row>
    <row r="79" spans="2:10" ht="45" customHeight="1" x14ac:dyDescent="0.2">
      <c r="B79" s="14">
        <v>72</v>
      </c>
      <c r="C79" s="15"/>
      <c r="D79" s="15"/>
      <c r="E79" s="15" t="s">
        <v>117</v>
      </c>
      <c r="F79" s="16" t="s">
        <v>245</v>
      </c>
      <c r="G79" s="24" t="s">
        <v>1170</v>
      </c>
      <c r="H79" s="15" t="s">
        <v>15</v>
      </c>
      <c r="I79" s="16" t="s">
        <v>1171</v>
      </c>
      <c r="J79" s="16" t="s">
        <v>1172</v>
      </c>
    </row>
    <row r="80" spans="2:10" ht="45" customHeight="1" x14ac:dyDescent="0.2">
      <c r="B80" s="11">
        <v>73</v>
      </c>
      <c r="C80" s="12"/>
      <c r="D80" s="12"/>
      <c r="E80" s="12" t="s">
        <v>117</v>
      </c>
      <c r="F80" s="13" t="s">
        <v>246</v>
      </c>
      <c r="G80" s="13" t="s">
        <v>1175</v>
      </c>
      <c r="H80" s="12" t="s">
        <v>13</v>
      </c>
      <c r="I80" s="13" t="s">
        <v>1176</v>
      </c>
      <c r="J80" s="13" t="s">
        <v>1177</v>
      </c>
    </row>
    <row r="81" spans="2:10" ht="45" customHeight="1" x14ac:dyDescent="0.2">
      <c r="B81" s="14">
        <v>74</v>
      </c>
      <c r="C81" s="15"/>
      <c r="D81" s="15"/>
      <c r="E81" s="15" t="s">
        <v>117</v>
      </c>
      <c r="F81" s="16" t="s">
        <v>247</v>
      </c>
      <c r="G81" s="16" t="s">
        <v>1179</v>
      </c>
      <c r="H81" s="15" t="s">
        <v>13</v>
      </c>
      <c r="I81" s="16" t="s">
        <v>1180</v>
      </c>
      <c r="J81" s="16" t="s">
        <v>1181</v>
      </c>
    </row>
    <row r="82" spans="2:10" ht="45" customHeight="1" x14ac:dyDescent="0.2">
      <c r="B82" s="11">
        <v>75</v>
      </c>
      <c r="C82" s="12"/>
      <c r="D82" s="12"/>
      <c r="E82" s="12" t="s">
        <v>117</v>
      </c>
      <c r="F82" s="13" t="s">
        <v>248</v>
      </c>
      <c r="G82" s="24" t="s">
        <v>1182</v>
      </c>
      <c r="H82" s="12" t="s">
        <v>11</v>
      </c>
      <c r="I82" s="13" t="s">
        <v>1183</v>
      </c>
      <c r="J82" s="13" t="s">
        <v>1184</v>
      </c>
    </row>
    <row r="83" spans="2:10" ht="45" customHeight="1" x14ac:dyDescent="0.2">
      <c r="B83" s="14">
        <v>76</v>
      </c>
      <c r="C83" s="15"/>
      <c r="D83" s="15"/>
      <c r="E83" s="15" t="s">
        <v>117</v>
      </c>
      <c r="F83" s="16" t="s">
        <v>249</v>
      </c>
      <c r="G83" s="16" t="s">
        <v>1185</v>
      </c>
      <c r="H83" s="15" t="s">
        <v>13</v>
      </c>
      <c r="I83" s="16" t="s">
        <v>1186</v>
      </c>
      <c r="J83" s="16" t="s">
        <v>1187</v>
      </c>
    </row>
    <row r="84" spans="2:10" ht="45" customHeight="1" x14ac:dyDescent="0.2">
      <c r="B84" s="11">
        <v>77</v>
      </c>
      <c r="C84" s="12"/>
      <c r="D84" s="12"/>
      <c r="E84" s="12" t="s">
        <v>117</v>
      </c>
      <c r="F84" s="13" t="s">
        <v>250</v>
      </c>
      <c r="G84" s="13" t="s">
        <v>1188</v>
      </c>
      <c r="H84" s="12" t="s">
        <v>11</v>
      </c>
      <c r="I84" s="13" t="s">
        <v>1189</v>
      </c>
      <c r="J84" s="13" t="s">
        <v>1100</v>
      </c>
    </row>
    <row r="85" spans="2:10" ht="45" customHeight="1" x14ac:dyDescent="0.2">
      <c r="B85" s="14">
        <v>78</v>
      </c>
      <c r="C85" s="15"/>
      <c r="D85" s="15"/>
      <c r="E85" s="15" t="s">
        <v>117</v>
      </c>
      <c r="F85" s="16" t="s">
        <v>251</v>
      </c>
      <c r="G85" s="16" t="s">
        <v>1190</v>
      </c>
      <c r="H85" s="15" t="s">
        <v>13</v>
      </c>
      <c r="I85" s="16" t="s">
        <v>1191</v>
      </c>
      <c r="J85" s="16" t="s">
        <v>1100</v>
      </c>
    </row>
    <row r="86" spans="2:10" ht="45" customHeight="1" x14ac:dyDescent="0.2">
      <c r="B86" s="11">
        <v>79</v>
      </c>
      <c r="C86" s="12"/>
      <c r="D86" s="12"/>
      <c r="E86" s="12" t="s">
        <v>117</v>
      </c>
      <c r="F86" s="13" t="s">
        <v>252</v>
      </c>
      <c r="G86" s="13" t="s">
        <v>1192</v>
      </c>
      <c r="H86" s="12" t="s">
        <v>11</v>
      </c>
      <c r="I86" s="13" t="s">
        <v>1114</v>
      </c>
      <c r="J86" s="13" t="s">
        <v>397</v>
      </c>
    </row>
    <row r="87" spans="2:10" ht="45" customHeight="1" x14ac:dyDescent="0.2">
      <c r="B87" s="14">
        <v>80</v>
      </c>
      <c r="C87" s="15"/>
      <c r="D87" s="15"/>
      <c r="E87" s="15" t="s">
        <v>117</v>
      </c>
      <c r="F87" s="16" t="s">
        <v>253</v>
      </c>
      <c r="G87" s="16" t="s">
        <v>1193</v>
      </c>
      <c r="H87" s="15" t="s">
        <v>11</v>
      </c>
      <c r="I87" s="16" t="s">
        <v>1194</v>
      </c>
      <c r="J87" s="16" t="s">
        <v>1023</v>
      </c>
    </row>
    <row r="88" spans="2:10" ht="45" customHeight="1" x14ac:dyDescent="0.2">
      <c r="B88" s="11">
        <v>81</v>
      </c>
      <c r="C88" s="12"/>
      <c r="D88" s="12"/>
      <c r="E88" s="12" t="s">
        <v>117</v>
      </c>
      <c r="F88" s="13" t="s">
        <v>254</v>
      </c>
      <c r="G88" s="13" t="s">
        <v>1275</v>
      </c>
      <c r="H88" s="12" t="s">
        <v>13</v>
      </c>
      <c r="I88" s="13" t="s">
        <v>1276</v>
      </c>
      <c r="J88" s="13" t="s">
        <v>1277</v>
      </c>
    </row>
    <row r="89" spans="2:10" ht="45" customHeight="1" x14ac:dyDescent="0.2">
      <c r="B89" s="14">
        <v>82</v>
      </c>
      <c r="C89" s="15"/>
      <c r="D89" s="15"/>
      <c r="E89" s="15" t="s">
        <v>117</v>
      </c>
      <c r="F89" s="16" t="s">
        <v>255</v>
      </c>
      <c r="G89" s="13" t="s">
        <v>1195</v>
      </c>
      <c r="H89" s="15" t="s">
        <v>11</v>
      </c>
      <c r="I89" s="24" t="s">
        <v>1196</v>
      </c>
      <c r="J89" s="16" t="s">
        <v>1197</v>
      </c>
    </row>
    <row r="90" spans="2:10" ht="45" customHeight="1" x14ac:dyDescent="0.2">
      <c r="B90" s="11">
        <v>83</v>
      </c>
      <c r="C90" s="12"/>
      <c r="D90" s="12"/>
      <c r="E90" s="12" t="s">
        <v>117</v>
      </c>
      <c r="F90" s="13" t="s">
        <v>256</v>
      </c>
      <c r="G90" s="24" t="s">
        <v>1198</v>
      </c>
      <c r="H90" s="12" t="s">
        <v>11</v>
      </c>
      <c r="I90" s="13" t="s">
        <v>1114</v>
      </c>
      <c r="J90" s="13" t="s">
        <v>1030</v>
      </c>
    </row>
    <row r="91" spans="2:10" ht="45" customHeight="1" x14ac:dyDescent="0.2">
      <c r="B91" s="14">
        <v>84</v>
      </c>
      <c r="C91" s="15"/>
      <c r="D91" s="15"/>
      <c r="E91" s="15" t="s">
        <v>117</v>
      </c>
      <c r="F91" s="16" t="s">
        <v>257</v>
      </c>
      <c r="G91" s="16" t="s">
        <v>1199</v>
      </c>
      <c r="H91" s="15" t="s">
        <v>13</v>
      </c>
      <c r="I91" s="16" t="s">
        <v>1200</v>
      </c>
      <c r="J91" s="16" t="s">
        <v>1201</v>
      </c>
    </row>
    <row r="92" spans="2:10" ht="45" customHeight="1" x14ac:dyDescent="0.2">
      <c r="B92" s="11">
        <v>85</v>
      </c>
      <c r="C92" s="12"/>
      <c r="D92" s="12"/>
      <c r="E92" s="12" t="s">
        <v>117</v>
      </c>
      <c r="F92" s="13" t="s">
        <v>258</v>
      </c>
      <c r="G92" s="13" t="s">
        <v>1208</v>
      </c>
      <c r="H92" s="12" t="s">
        <v>13</v>
      </c>
      <c r="I92" s="13" t="s">
        <v>1209</v>
      </c>
      <c r="J92" s="13" t="s">
        <v>1210</v>
      </c>
    </row>
    <row r="93" spans="2:10" ht="45" customHeight="1" x14ac:dyDescent="0.2">
      <c r="B93" s="14">
        <v>86</v>
      </c>
      <c r="C93" s="15"/>
      <c r="D93" s="15"/>
      <c r="E93" s="15" t="s">
        <v>117</v>
      </c>
      <c r="F93" s="16" t="s">
        <v>259</v>
      </c>
      <c r="G93" s="16" t="s">
        <v>1213</v>
      </c>
      <c r="H93" s="15" t="s">
        <v>13</v>
      </c>
      <c r="I93" s="16" t="s">
        <v>1215</v>
      </c>
      <c r="J93" s="16" t="s">
        <v>1216</v>
      </c>
    </row>
    <row r="94" spans="2:10" ht="45" customHeight="1" x14ac:dyDescent="0.2">
      <c r="B94" s="11">
        <v>87</v>
      </c>
      <c r="C94" s="12"/>
      <c r="D94" s="12"/>
      <c r="E94" s="12" t="s">
        <v>117</v>
      </c>
      <c r="F94" s="13" t="s">
        <v>260</v>
      </c>
      <c r="G94" s="13" t="s">
        <v>1217</v>
      </c>
      <c r="H94" s="12" t="s">
        <v>15</v>
      </c>
      <c r="I94" s="13" t="s">
        <v>1218</v>
      </c>
      <c r="J94" s="13" t="s">
        <v>1219</v>
      </c>
    </row>
    <row r="95" spans="2:10" ht="45" customHeight="1" x14ac:dyDescent="0.2">
      <c r="B95" s="14">
        <v>88</v>
      </c>
      <c r="C95" s="15"/>
      <c r="D95" s="15"/>
      <c r="E95" s="15" t="s">
        <v>117</v>
      </c>
      <c r="F95" s="16" t="s">
        <v>261</v>
      </c>
      <c r="G95" s="16" t="s">
        <v>1220</v>
      </c>
      <c r="H95" s="15" t="s">
        <v>11</v>
      </c>
      <c r="I95" s="16" t="s">
        <v>1194</v>
      </c>
      <c r="J95" s="16" t="s">
        <v>1023</v>
      </c>
    </row>
    <row r="96" spans="2:10" ht="45" customHeight="1" x14ac:dyDescent="0.2">
      <c r="B96" s="11">
        <v>89</v>
      </c>
      <c r="C96" s="12"/>
      <c r="D96" s="12"/>
      <c r="E96" s="12" t="s">
        <v>117</v>
      </c>
      <c r="F96" s="13" t="s">
        <v>262</v>
      </c>
      <c r="G96" s="13" t="s">
        <v>1221</v>
      </c>
      <c r="H96" s="12" t="s">
        <v>13</v>
      </c>
      <c r="I96" s="13" t="s">
        <v>1222</v>
      </c>
      <c r="J96" s="13" t="s">
        <v>1223</v>
      </c>
    </row>
    <row r="97" spans="2:10" ht="45" customHeight="1" x14ac:dyDescent="0.2">
      <c r="B97" s="14">
        <v>90</v>
      </c>
      <c r="C97" s="15"/>
      <c r="D97" s="15"/>
      <c r="E97" s="15" t="s">
        <v>117</v>
      </c>
      <c r="F97" s="16" t="s">
        <v>263</v>
      </c>
      <c r="G97" s="16" t="s">
        <v>1224</v>
      </c>
      <c r="H97" s="15" t="s">
        <v>13</v>
      </c>
      <c r="I97" s="16" t="s">
        <v>1225</v>
      </c>
      <c r="J97" s="16" t="s">
        <v>1226</v>
      </c>
    </row>
    <row r="98" spans="2:10" ht="45" customHeight="1" x14ac:dyDescent="0.2">
      <c r="B98" s="11">
        <v>91</v>
      </c>
      <c r="C98" s="12"/>
      <c r="D98" s="12"/>
      <c r="E98" s="12" t="s">
        <v>117</v>
      </c>
      <c r="F98" s="13" t="s">
        <v>264</v>
      </c>
      <c r="G98" s="13" t="s">
        <v>1227</v>
      </c>
      <c r="H98" s="12" t="s">
        <v>11</v>
      </c>
      <c r="I98" s="13" t="s">
        <v>1022</v>
      </c>
      <c r="J98" s="13" t="s">
        <v>1023</v>
      </c>
    </row>
    <row r="99" spans="2:10" ht="45" customHeight="1" x14ac:dyDescent="0.2">
      <c r="B99" s="14">
        <v>92</v>
      </c>
      <c r="C99" s="15"/>
      <c r="D99" s="15"/>
      <c r="E99" s="15" t="s">
        <v>117</v>
      </c>
      <c r="F99" s="16" t="s">
        <v>265</v>
      </c>
      <c r="G99" s="16" t="s">
        <v>1228</v>
      </c>
      <c r="H99" s="15" t="s">
        <v>11</v>
      </c>
      <c r="I99" s="16" t="s">
        <v>1114</v>
      </c>
      <c r="J99" t="s">
        <v>1229</v>
      </c>
    </row>
    <row r="100" spans="2:10" ht="45" customHeight="1" x14ac:dyDescent="0.2">
      <c r="B100" s="11">
        <v>93</v>
      </c>
      <c r="C100" s="12"/>
      <c r="D100" s="12"/>
      <c r="E100" s="12" t="s">
        <v>117</v>
      </c>
      <c r="F100" s="13" t="s">
        <v>266</v>
      </c>
      <c r="G100" s="13" t="s">
        <v>1230</v>
      </c>
      <c r="H100" s="12" t="s">
        <v>15</v>
      </c>
      <c r="I100" s="13" t="s">
        <v>1231</v>
      </c>
      <c r="J100" s="13" t="s">
        <v>1232</v>
      </c>
    </row>
    <row r="101" spans="2:10" ht="45" customHeight="1" x14ac:dyDescent="0.2">
      <c r="B101" s="14">
        <v>94</v>
      </c>
      <c r="C101" s="15"/>
      <c r="D101" s="15"/>
      <c r="E101" s="15" t="s">
        <v>117</v>
      </c>
      <c r="F101" s="16" t="s">
        <v>267</v>
      </c>
      <c r="G101" s="16" t="s">
        <v>1233</v>
      </c>
      <c r="H101" s="15" t="s">
        <v>13</v>
      </c>
      <c r="I101" s="16" t="s">
        <v>1234</v>
      </c>
      <c r="J101" s="16" t="s">
        <v>1235</v>
      </c>
    </row>
    <row r="102" spans="2:10" ht="45" customHeight="1" x14ac:dyDescent="0.2">
      <c r="B102" s="11">
        <v>95</v>
      </c>
      <c r="C102" s="12"/>
      <c r="D102" s="12"/>
      <c r="E102" s="12" t="s">
        <v>117</v>
      </c>
      <c r="F102" s="13" t="s">
        <v>268</v>
      </c>
      <c r="G102" s="13" t="s">
        <v>1236</v>
      </c>
      <c r="H102" s="12" t="s">
        <v>13</v>
      </c>
      <c r="I102" s="13" t="s">
        <v>1237</v>
      </c>
      <c r="J102" s="13" t="s">
        <v>1238</v>
      </c>
    </row>
    <row r="103" spans="2:10" ht="45" customHeight="1" x14ac:dyDescent="0.2">
      <c r="B103" s="14">
        <v>96</v>
      </c>
      <c r="C103" s="15"/>
      <c r="D103" s="15"/>
      <c r="E103" s="15" t="s">
        <v>117</v>
      </c>
      <c r="F103" s="16" t="s">
        <v>269</v>
      </c>
      <c r="G103" s="16" t="s">
        <v>1240</v>
      </c>
      <c r="H103" s="15" t="s">
        <v>11</v>
      </c>
      <c r="I103" s="16" t="s">
        <v>1239</v>
      </c>
      <c r="J103" s="16" t="s">
        <v>1030</v>
      </c>
    </row>
    <row r="104" spans="2:10" ht="45" customHeight="1" x14ac:dyDescent="0.2">
      <c r="B104" s="11">
        <v>97</v>
      </c>
      <c r="C104" s="12"/>
      <c r="D104" s="12"/>
      <c r="E104" s="12" t="s">
        <v>117</v>
      </c>
      <c r="F104" s="13" t="s">
        <v>270</v>
      </c>
      <c r="G104" s="13" t="s">
        <v>1241</v>
      </c>
      <c r="H104" s="12" t="s">
        <v>15</v>
      </c>
      <c r="I104" s="13" t="s">
        <v>1241</v>
      </c>
      <c r="J104" s="13" t="s">
        <v>1242</v>
      </c>
    </row>
    <row r="105" spans="2:10" ht="45" customHeight="1" x14ac:dyDescent="0.2">
      <c r="B105" s="14">
        <v>98</v>
      </c>
      <c r="C105" s="15"/>
      <c r="D105" s="15"/>
      <c r="E105" s="15" t="s">
        <v>117</v>
      </c>
      <c r="F105" s="16" t="s">
        <v>271</v>
      </c>
      <c r="G105" s="16"/>
      <c r="H105" s="15" t="s">
        <v>13</v>
      </c>
      <c r="I105" s="16" t="s">
        <v>673</v>
      </c>
      <c r="J105" s="16" t="s">
        <v>674</v>
      </c>
    </row>
    <row r="106" spans="2:10" ht="45" customHeight="1" x14ac:dyDescent="0.2">
      <c r="B106" s="11">
        <v>99</v>
      </c>
      <c r="C106" s="12"/>
      <c r="D106" s="12"/>
      <c r="E106" s="12" t="s">
        <v>117</v>
      </c>
      <c r="F106" s="13" t="s">
        <v>272</v>
      </c>
      <c r="G106" s="13"/>
      <c r="H106" s="12" t="s">
        <v>11</v>
      </c>
      <c r="I106" s="13" t="s">
        <v>665</v>
      </c>
      <c r="J106" s="13" t="s">
        <v>666</v>
      </c>
    </row>
    <row r="107" spans="2:10" ht="45" customHeight="1" x14ac:dyDescent="0.2">
      <c r="B107" s="14">
        <v>100</v>
      </c>
      <c r="C107" s="15"/>
      <c r="D107" s="15"/>
      <c r="E107" s="15" t="s">
        <v>117</v>
      </c>
      <c r="F107" s="16" t="s">
        <v>273</v>
      </c>
      <c r="G107" s="16"/>
      <c r="H107" s="15" t="s">
        <v>11</v>
      </c>
      <c r="I107" s="16" t="s">
        <v>659</v>
      </c>
      <c r="J107" s="16" t="s">
        <v>660</v>
      </c>
    </row>
    <row r="110" spans="2:10" ht="16" x14ac:dyDescent="0.25">
      <c r="B110" s="3" t="s">
        <v>168</v>
      </c>
    </row>
    <row r="112" spans="2:10" x14ac:dyDescent="0.2">
      <c r="B112" s="18" t="s">
        <v>169</v>
      </c>
      <c r="C112" s="6">
        <f>COUNTA(H8:H107)</f>
        <v>100</v>
      </c>
    </row>
    <row r="113" spans="2:3" x14ac:dyDescent="0.2">
      <c r="B113" s="18" t="s">
        <v>41</v>
      </c>
      <c r="C113" s="19">
        <f>COUNTIF(H8:H107,"PASS")</f>
        <v>45</v>
      </c>
    </row>
    <row r="114" spans="2:3" x14ac:dyDescent="0.2">
      <c r="B114" s="18" t="s">
        <v>42</v>
      </c>
      <c r="C114" s="20">
        <f>COUNTIF(H8:H107,"PARTIAL FAIL")</f>
        <v>34</v>
      </c>
    </row>
    <row r="115" spans="2:3" x14ac:dyDescent="0.2">
      <c r="B115" s="18" t="s">
        <v>43</v>
      </c>
      <c r="C115" s="21">
        <f>COUNTIF(H8:H107,"FAIL")</f>
        <v>21</v>
      </c>
    </row>
    <row r="117" spans="2:3" x14ac:dyDescent="0.2">
      <c r="B117" s="18" t="s">
        <v>170</v>
      </c>
      <c r="C117" s="22">
        <f>IF(C112&gt;0,C113/C112,0)</f>
        <v>0.45</v>
      </c>
    </row>
  </sheetData>
  <mergeCells count="1">
    <mergeCell ref="C5:J5"/>
  </mergeCells>
  <dataValidations count="2">
    <dataValidation type="list" allowBlank="1" errorTitle="Invalid Result" error="Please select PASS, PARTIAL FAIL, or FAIL" sqref="H8:H107" xr:uid="{00000000-0002-0000-0300-000000000000}">
      <formula1>"PASS,PARTIAL FAIL,FAIL"</formula1>
    </dataValidation>
    <dataValidation type="list" allowBlank="1" sqref="E8:E107" xr:uid="{00000000-0002-0000-0300-000001000000}">
      <formula1>"Case Notes,Teams Chat,Phone Call,Walk-up,Email,Other"</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K117"/>
  <sheetViews>
    <sheetView showGridLines="0" tabSelected="1" workbookViewId="0">
      <pane xSplit="1" topLeftCell="C1" activePane="topRight" state="frozen"/>
      <selection pane="topRight" activeCell="H19" sqref="H19"/>
    </sheetView>
  </sheetViews>
  <sheetFormatPr baseColWidth="10" defaultColWidth="8.83203125" defaultRowHeight="15" x14ac:dyDescent="0.2"/>
  <cols>
    <col min="1" max="1" width="3" customWidth="1"/>
    <col min="2" max="2" width="6" customWidth="1"/>
    <col min="3" max="3" width="12" customWidth="1"/>
    <col min="4" max="5" width="15" customWidth="1"/>
    <col min="6" max="6" width="45" customWidth="1"/>
    <col min="7" max="7" width="50" style="24" customWidth="1"/>
    <col min="8" max="8" width="12" customWidth="1"/>
    <col min="9" max="10" width="35" style="24" customWidth="1"/>
    <col min="11" max="11" width="89.5" customWidth="1"/>
  </cols>
  <sheetData>
    <row r="2" spans="2:10" ht="22" x14ac:dyDescent="0.3">
      <c r="B2" s="1" t="s">
        <v>274</v>
      </c>
    </row>
    <row r="3" spans="2:10" x14ac:dyDescent="0.2">
      <c r="B3" s="2" t="s">
        <v>275</v>
      </c>
    </row>
    <row r="5" spans="2:10" x14ac:dyDescent="0.2">
      <c r="B5" s="23" t="s">
        <v>59</v>
      </c>
      <c r="C5" s="55" t="s">
        <v>276</v>
      </c>
      <c r="D5" s="56"/>
      <c r="E5" s="56"/>
      <c r="F5" s="56"/>
      <c r="G5" s="56"/>
      <c r="H5" s="56"/>
      <c r="I5" s="56"/>
      <c r="J5" s="56"/>
    </row>
    <row r="7" spans="2:10" x14ac:dyDescent="0.2">
      <c r="B7" s="10" t="s">
        <v>30</v>
      </c>
      <c r="C7" s="10" t="s">
        <v>31</v>
      </c>
      <c r="D7" s="10" t="s">
        <v>32</v>
      </c>
      <c r="E7" s="10" t="s">
        <v>33</v>
      </c>
      <c r="F7" s="10" t="s">
        <v>34</v>
      </c>
      <c r="G7" s="10" t="s">
        <v>35</v>
      </c>
      <c r="H7" s="10" t="s">
        <v>36</v>
      </c>
      <c r="I7" s="10" t="s">
        <v>37</v>
      </c>
      <c r="J7" s="10" t="s">
        <v>38</v>
      </c>
    </row>
    <row r="8" spans="2:10" ht="45" customHeight="1" x14ac:dyDescent="0.2">
      <c r="B8" s="11">
        <v>1</v>
      </c>
      <c r="C8" s="12"/>
      <c r="D8" s="12"/>
      <c r="E8" s="12"/>
      <c r="F8" s="13" t="s">
        <v>277</v>
      </c>
      <c r="G8" s="24" t="s">
        <v>340</v>
      </c>
      <c r="H8" s="12" t="s">
        <v>13</v>
      </c>
      <c r="I8" s="24" t="s">
        <v>341</v>
      </c>
      <c r="J8" s="24" t="s">
        <v>343</v>
      </c>
    </row>
    <row r="9" spans="2:10" ht="45" customHeight="1" x14ac:dyDescent="0.2">
      <c r="B9" s="14">
        <v>2</v>
      </c>
      <c r="C9" s="15"/>
      <c r="D9" s="15"/>
      <c r="E9" s="15"/>
      <c r="F9" s="16" t="s">
        <v>294</v>
      </c>
      <c r="G9" s="35" t="s">
        <v>337</v>
      </c>
      <c r="H9" s="15" t="s">
        <v>15</v>
      </c>
      <c r="I9" s="13" t="s">
        <v>338</v>
      </c>
      <c r="J9" s="13" t="s">
        <v>339</v>
      </c>
    </row>
    <row r="10" spans="2:10" ht="45" customHeight="1" x14ac:dyDescent="0.2">
      <c r="B10" s="11">
        <v>3</v>
      </c>
      <c r="C10" s="12"/>
      <c r="D10" s="12"/>
      <c r="E10" s="12"/>
      <c r="F10" s="47" t="s">
        <v>559</v>
      </c>
      <c r="G10" s="35" t="s">
        <v>856</v>
      </c>
      <c r="H10" s="12" t="s">
        <v>13</v>
      </c>
      <c r="I10" s="35" t="s">
        <v>858</v>
      </c>
      <c r="J10" s="35" t="s">
        <v>859</v>
      </c>
    </row>
    <row r="11" spans="2:10" ht="45" customHeight="1" x14ac:dyDescent="0.2">
      <c r="B11" s="14">
        <v>4</v>
      </c>
      <c r="C11" s="15"/>
      <c r="D11" s="15"/>
      <c r="E11" s="15"/>
      <c r="F11" s="36" t="s">
        <v>560</v>
      </c>
      <c r="G11" s="36" t="s">
        <v>1173</v>
      </c>
      <c r="H11" s="15" t="s">
        <v>15</v>
      </c>
      <c r="I11" s="36" t="s">
        <v>1174</v>
      </c>
      <c r="J11" s="37" t="s">
        <v>1178</v>
      </c>
    </row>
    <row r="12" spans="2:10" ht="45" customHeight="1" x14ac:dyDescent="0.2">
      <c r="B12" s="11">
        <v>5</v>
      </c>
      <c r="C12" s="12"/>
      <c r="D12" s="12"/>
      <c r="E12" s="12"/>
      <c r="F12" s="13" t="s">
        <v>1381</v>
      </c>
      <c r="G12" s="35" t="s">
        <v>1384</v>
      </c>
      <c r="H12" s="12" t="s">
        <v>15</v>
      </c>
      <c r="I12" s="24" t="s">
        <v>1385</v>
      </c>
      <c r="J12" s="13" t="s">
        <v>1386</v>
      </c>
    </row>
    <row r="13" spans="2:10" ht="45" customHeight="1" x14ac:dyDescent="0.2">
      <c r="B13" s="14">
        <v>6</v>
      </c>
      <c r="C13" s="15"/>
      <c r="D13" s="15"/>
      <c r="E13" s="15"/>
      <c r="F13" s="16" t="s">
        <v>561</v>
      </c>
      <c r="G13" s="24" t="s">
        <v>1243</v>
      </c>
      <c r="H13" s="15" t="s">
        <v>13</v>
      </c>
      <c r="I13" s="36" t="s">
        <v>1244</v>
      </c>
      <c r="J13" s="36" t="s">
        <v>1251</v>
      </c>
    </row>
    <row r="14" spans="2:10" ht="78.75" customHeight="1" x14ac:dyDescent="0.2">
      <c r="B14" s="11">
        <v>7</v>
      </c>
      <c r="C14" s="12"/>
      <c r="D14" s="12"/>
      <c r="E14" s="12"/>
      <c r="F14" s="27" t="s">
        <v>562</v>
      </c>
      <c r="G14" s="38" t="s">
        <v>352</v>
      </c>
      <c r="H14" s="30" t="s">
        <v>15</v>
      </c>
      <c r="I14" s="35" t="s">
        <v>353</v>
      </c>
      <c r="J14" s="13" t="s">
        <v>1258</v>
      </c>
    </row>
    <row r="15" spans="2:10" ht="45" customHeight="1" x14ac:dyDescent="0.2">
      <c r="B15" s="14">
        <v>8</v>
      </c>
      <c r="C15" s="15"/>
      <c r="D15" s="15"/>
      <c r="E15" s="15"/>
      <c r="F15" s="16" t="s">
        <v>564</v>
      </c>
      <c r="G15" s="44" t="s">
        <v>1245</v>
      </c>
      <c r="H15" s="15" t="s">
        <v>13</v>
      </c>
      <c r="I15" s="36" t="s">
        <v>1246</v>
      </c>
      <c r="J15" s="24" t="s">
        <v>1250</v>
      </c>
    </row>
    <row r="16" spans="2:10" ht="45" customHeight="1" x14ac:dyDescent="0.2">
      <c r="B16" s="11">
        <v>9</v>
      </c>
      <c r="C16" s="12"/>
      <c r="D16" s="12"/>
      <c r="E16" s="12"/>
      <c r="F16" s="13" t="s">
        <v>563</v>
      </c>
      <c r="G16" s="35" t="s">
        <v>1269</v>
      </c>
      <c r="H16" s="12" t="s">
        <v>13</v>
      </c>
      <c r="I16" s="24" t="s">
        <v>1270</v>
      </c>
      <c r="J16" s="13" t="s">
        <v>1271</v>
      </c>
    </row>
    <row r="17" spans="2:11" ht="45" customHeight="1" x14ac:dyDescent="0.2">
      <c r="B17" s="14">
        <v>10</v>
      </c>
      <c r="C17" s="15"/>
      <c r="D17" s="15"/>
      <c r="E17" s="15"/>
      <c r="F17" s="16" t="s">
        <v>565</v>
      </c>
      <c r="G17" s="16" t="s">
        <v>1297</v>
      </c>
      <c r="H17" s="15" t="s">
        <v>15</v>
      </c>
      <c r="I17" s="16" t="s">
        <v>1298</v>
      </c>
      <c r="J17" s="16" t="s">
        <v>1299</v>
      </c>
    </row>
    <row r="18" spans="2:11" ht="45" customHeight="1" x14ac:dyDescent="0.2">
      <c r="B18" s="11">
        <v>11</v>
      </c>
      <c r="C18" s="12"/>
      <c r="D18" s="12"/>
      <c r="E18" s="12"/>
      <c r="F18" s="13" t="s">
        <v>566</v>
      </c>
      <c r="G18" s="35" t="s">
        <v>1304</v>
      </c>
      <c r="H18" s="12" t="s">
        <v>13</v>
      </c>
      <c r="I18" s="13" t="s">
        <v>1305</v>
      </c>
      <c r="J18" s="13" t="s">
        <v>1306</v>
      </c>
    </row>
    <row r="19" spans="2:11" ht="45" customHeight="1" x14ac:dyDescent="0.2">
      <c r="B19" s="14">
        <v>12</v>
      </c>
      <c r="C19" s="15"/>
      <c r="D19" s="15"/>
      <c r="E19" s="15"/>
      <c r="F19" s="16" t="s">
        <v>567</v>
      </c>
      <c r="G19" s="16" t="s">
        <v>1307</v>
      </c>
      <c r="H19" s="15" t="s">
        <v>15</v>
      </c>
      <c r="I19" s="16" t="s">
        <v>1308</v>
      </c>
      <c r="J19" s="16" t="s">
        <v>1309</v>
      </c>
    </row>
    <row r="20" spans="2:11" ht="45" customHeight="1" x14ac:dyDescent="0.2">
      <c r="B20" s="11">
        <v>13</v>
      </c>
      <c r="C20" s="12"/>
      <c r="D20" s="12"/>
      <c r="E20" s="12"/>
      <c r="F20" s="32" t="s">
        <v>295</v>
      </c>
      <c r="G20" s="13" t="s">
        <v>360</v>
      </c>
      <c r="H20" s="12" t="s">
        <v>15</v>
      </c>
      <c r="I20" s="24" t="s">
        <v>361</v>
      </c>
      <c r="J20" s="13" t="s">
        <v>1473</v>
      </c>
    </row>
    <row r="21" spans="2:11" ht="45" customHeight="1" x14ac:dyDescent="0.2">
      <c r="B21" s="14">
        <v>14</v>
      </c>
      <c r="C21" s="15"/>
      <c r="D21" s="15"/>
      <c r="E21" s="15"/>
      <c r="F21" s="33" t="s">
        <v>568</v>
      </c>
      <c r="G21" s="16" t="s">
        <v>1314</v>
      </c>
      <c r="H21" s="15" t="s">
        <v>13</v>
      </c>
      <c r="I21" s="16" t="s">
        <v>1315</v>
      </c>
      <c r="J21" s="16" t="s">
        <v>1316</v>
      </c>
    </row>
    <row r="22" spans="2:11" ht="45" customHeight="1" x14ac:dyDescent="0.2">
      <c r="B22" s="11">
        <v>15</v>
      </c>
      <c r="C22" s="12"/>
      <c r="D22" s="12"/>
      <c r="E22" s="12"/>
      <c r="F22" s="45" t="s">
        <v>569</v>
      </c>
      <c r="G22" s="13" t="s">
        <v>1330</v>
      </c>
      <c r="H22" s="12" t="s">
        <v>13</v>
      </c>
      <c r="I22" s="13" t="s">
        <v>1331</v>
      </c>
      <c r="J22" s="13" t="s">
        <v>1332</v>
      </c>
    </row>
    <row r="23" spans="2:11" ht="45" customHeight="1" x14ac:dyDescent="0.2">
      <c r="B23" s="14">
        <v>16</v>
      </c>
      <c r="C23" s="15"/>
      <c r="D23" s="15"/>
      <c r="E23" s="15"/>
      <c r="F23" s="33" t="s">
        <v>296</v>
      </c>
      <c r="G23" s="16" t="s">
        <v>362</v>
      </c>
      <c r="H23" s="15" t="s">
        <v>15</v>
      </c>
      <c r="I23" s="16" t="s">
        <v>363</v>
      </c>
      <c r="J23" s="16" t="s">
        <v>364</v>
      </c>
    </row>
    <row r="24" spans="2:11" ht="45" customHeight="1" x14ac:dyDescent="0.2">
      <c r="B24" s="11">
        <v>17</v>
      </c>
      <c r="C24" s="12"/>
      <c r="D24" s="12"/>
      <c r="E24" s="12"/>
      <c r="F24" s="32" t="s">
        <v>1320</v>
      </c>
      <c r="G24" s="13" t="s">
        <v>1321</v>
      </c>
      <c r="H24" s="12" t="s">
        <v>13</v>
      </c>
      <c r="I24" s="13" t="s">
        <v>1322</v>
      </c>
      <c r="J24" s="13" t="s">
        <v>1323</v>
      </c>
    </row>
    <row r="25" spans="2:11" ht="45" customHeight="1" x14ac:dyDescent="0.2">
      <c r="B25" s="14">
        <v>18</v>
      </c>
      <c r="C25" s="15"/>
      <c r="D25" s="15"/>
      <c r="E25" s="15"/>
      <c r="F25" s="33" t="s">
        <v>573</v>
      </c>
      <c r="G25" s="16" t="s">
        <v>1324</v>
      </c>
      <c r="H25" s="15" t="s">
        <v>13</v>
      </c>
      <c r="I25" s="16" t="s">
        <v>1325</v>
      </c>
      <c r="J25" s="16" t="s">
        <v>1326</v>
      </c>
    </row>
    <row r="26" spans="2:11" ht="45" customHeight="1" x14ac:dyDescent="0.2">
      <c r="B26" s="11">
        <v>19</v>
      </c>
      <c r="C26" s="12"/>
      <c r="D26" s="12"/>
      <c r="E26" s="12"/>
      <c r="F26" s="32" t="s">
        <v>297</v>
      </c>
      <c r="G26" s="13" t="s">
        <v>371</v>
      </c>
      <c r="H26" s="12" t="s">
        <v>15</v>
      </c>
      <c r="I26" s="13" t="s">
        <v>372</v>
      </c>
      <c r="J26" s="13" t="s">
        <v>373</v>
      </c>
    </row>
    <row r="27" spans="2:11" ht="45" customHeight="1" x14ac:dyDescent="0.2">
      <c r="B27" s="14">
        <v>20</v>
      </c>
      <c r="C27" s="15"/>
      <c r="D27" s="15"/>
      <c r="E27" s="15"/>
      <c r="F27" s="16" t="s">
        <v>577</v>
      </c>
      <c r="G27" s="16" t="s">
        <v>1466</v>
      </c>
      <c r="H27" s="15" t="s">
        <v>13</v>
      </c>
      <c r="I27" s="16" t="s">
        <v>1467</v>
      </c>
      <c r="J27" s="16" t="s">
        <v>1468</v>
      </c>
    </row>
    <row r="28" spans="2:11" ht="45" customHeight="1" x14ac:dyDescent="0.2">
      <c r="B28" s="11">
        <v>21</v>
      </c>
      <c r="C28" s="12"/>
      <c r="D28" s="12"/>
      <c r="E28" s="12"/>
      <c r="F28" s="13" t="s">
        <v>578</v>
      </c>
      <c r="G28" s="35" t="s">
        <v>1464</v>
      </c>
      <c r="H28" s="12" t="s">
        <v>13</v>
      </c>
      <c r="I28" s="13" t="s">
        <v>1465</v>
      </c>
      <c r="J28" s="13" t="s">
        <v>1469</v>
      </c>
    </row>
    <row r="29" spans="2:11" ht="45" customHeight="1" x14ac:dyDescent="0.2">
      <c r="B29" s="14">
        <v>22</v>
      </c>
      <c r="C29" s="15"/>
      <c r="D29" s="15"/>
      <c r="E29" s="15"/>
      <c r="F29" s="36" t="s">
        <v>459</v>
      </c>
      <c r="G29" s="36" t="s">
        <v>456</v>
      </c>
      <c r="H29" s="15" t="s">
        <v>13</v>
      </c>
      <c r="I29" s="16" t="s">
        <v>457</v>
      </c>
      <c r="J29" s="16" t="s">
        <v>458</v>
      </c>
    </row>
    <row r="30" spans="2:11" ht="45" customHeight="1" x14ac:dyDescent="0.2">
      <c r="B30" s="11">
        <v>23</v>
      </c>
      <c r="C30" s="12"/>
      <c r="D30" s="12"/>
      <c r="E30" s="12"/>
      <c r="F30" s="35" t="s">
        <v>579</v>
      </c>
      <c r="G30" s="35" t="s">
        <v>1461</v>
      </c>
      <c r="H30" s="12" t="s">
        <v>15</v>
      </c>
      <c r="I30" s="13" t="s">
        <v>1462</v>
      </c>
      <c r="J30" s="24" t="s">
        <v>1463</v>
      </c>
      <c r="K30" s="24"/>
    </row>
    <row r="31" spans="2:11" ht="45" customHeight="1" x14ac:dyDescent="0.2">
      <c r="B31" s="14">
        <v>24</v>
      </c>
      <c r="C31" s="15"/>
      <c r="D31" s="15"/>
      <c r="E31" s="15"/>
      <c r="F31" s="16" t="s">
        <v>580</v>
      </c>
      <c r="G31" s="36" t="s">
        <v>1459</v>
      </c>
      <c r="H31" s="15" t="s">
        <v>11</v>
      </c>
      <c r="I31" s="16"/>
      <c r="J31" s="16" t="s">
        <v>1460</v>
      </c>
    </row>
    <row r="32" spans="2:11" ht="45" customHeight="1" x14ac:dyDescent="0.2">
      <c r="B32" s="11">
        <v>25</v>
      </c>
      <c r="C32" s="12"/>
      <c r="D32" s="12"/>
      <c r="E32" s="12"/>
      <c r="F32" s="13" t="s">
        <v>581</v>
      </c>
      <c r="G32" s="13" t="s">
        <v>1456</v>
      </c>
      <c r="H32" s="12" t="s">
        <v>11</v>
      </c>
      <c r="I32" s="13" t="s">
        <v>1457</v>
      </c>
      <c r="J32" s="13" t="s">
        <v>1458</v>
      </c>
    </row>
    <row r="33" spans="2:10" ht="45" customHeight="1" x14ac:dyDescent="0.2">
      <c r="B33" s="14">
        <v>26</v>
      </c>
      <c r="C33" s="15"/>
      <c r="D33" s="15"/>
      <c r="E33" s="15"/>
      <c r="F33" s="16" t="s">
        <v>582</v>
      </c>
      <c r="G33" s="16" t="s">
        <v>1453</v>
      </c>
      <c r="H33" s="15" t="s">
        <v>13</v>
      </c>
      <c r="I33" s="16" t="s">
        <v>1454</v>
      </c>
      <c r="J33" s="16" t="s">
        <v>1455</v>
      </c>
    </row>
    <row r="34" spans="2:10" ht="45" customHeight="1" x14ac:dyDescent="0.2">
      <c r="B34" s="11">
        <v>27</v>
      </c>
      <c r="C34" s="12"/>
      <c r="D34" s="12"/>
      <c r="E34" s="12"/>
      <c r="F34" s="13" t="s">
        <v>471</v>
      </c>
      <c r="G34" s="13" t="s">
        <v>1259</v>
      </c>
      <c r="H34" s="12" t="s">
        <v>15</v>
      </c>
      <c r="I34" s="13" t="s">
        <v>1260</v>
      </c>
      <c r="J34" s="13" t="s">
        <v>1261</v>
      </c>
    </row>
    <row r="35" spans="2:10" ht="45" customHeight="1" x14ac:dyDescent="0.2">
      <c r="B35" s="14">
        <v>28</v>
      </c>
      <c r="C35" s="15"/>
      <c r="D35" s="15"/>
      <c r="E35" s="15"/>
      <c r="F35" s="16" t="s">
        <v>472</v>
      </c>
      <c r="G35" s="16" t="s">
        <v>1262</v>
      </c>
      <c r="H35" s="15" t="s">
        <v>13</v>
      </c>
      <c r="I35" s="16" t="s">
        <v>1263</v>
      </c>
      <c r="J35" s="16" t="s">
        <v>1264</v>
      </c>
    </row>
    <row r="36" spans="2:10" ht="45" customHeight="1" x14ac:dyDescent="0.2">
      <c r="B36" s="11">
        <v>29</v>
      </c>
      <c r="C36" s="12"/>
      <c r="D36" s="12"/>
      <c r="E36" s="12"/>
      <c r="F36" s="13" t="s">
        <v>473</v>
      </c>
      <c r="G36" s="13" t="s">
        <v>1255</v>
      </c>
      <c r="H36" s="12" t="s">
        <v>11</v>
      </c>
      <c r="I36" s="13" t="s">
        <v>1256</v>
      </c>
      <c r="J36" s="13" t="s">
        <v>1257</v>
      </c>
    </row>
    <row r="37" spans="2:10" ht="45" customHeight="1" x14ac:dyDescent="0.2">
      <c r="B37" s="14">
        <v>30</v>
      </c>
      <c r="C37" s="15"/>
      <c r="D37" s="15"/>
      <c r="E37" s="15"/>
      <c r="F37" s="16" t="s">
        <v>584</v>
      </c>
      <c r="G37" s="16" t="s">
        <v>1451</v>
      </c>
      <c r="H37" s="15" t="s">
        <v>15</v>
      </c>
      <c r="I37" s="16" t="s">
        <v>1452</v>
      </c>
      <c r="J37" s="16" t="s">
        <v>1470</v>
      </c>
    </row>
    <row r="38" spans="2:10" ht="45" customHeight="1" x14ac:dyDescent="0.2">
      <c r="B38" s="11">
        <v>31</v>
      </c>
      <c r="C38" s="12"/>
      <c r="D38" s="12"/>
      <c r="E38" s="12"/>
      <c r="F38" s="13" t="s">
        <v>474</v>
      </c>
      <c r="G38" s="13" t="s">
        <v>1449</v>
      </c>
      <c r="H38" s="12" t="s">
        <v>11</v>
      </c>
      <c r="I38" s="13"/>
      <c r="J38" s="13" t="s">
        <v>1450</v>
      </c>
    </row>
    <row r="39" spans="2:10" ht="45" customHeight="1" x14ac:dyDescent="0.2">
      <c r="B39" s="14">
        <v>32</v>
      </c>
      <c r="C39" s="15"/>
      <c r="D39" s="15"/>
      <c r="E39" s="15"/>
      <c r="F39" s="16" t="s">
        <v>475</v>
      </c>
      <c r="G39" s="16" t="s">
        <v>1327</v>
      </c>
      <c r="H39" s="15" t="s">
        <v>15</v>
      </c>
      <c r="I39" s="16" t="s">
        <v>1328</v>
      </c>
      <c r="J39" s="16" t="s">
        <v>1329</v>
      </c>
    </row>
    <row r="40" spans="2:10" ht="45" customHeight="1" x14ac:dyDescent="0.2">
      <c r="B40" s="11">
        <v>33</v>
      </c>
      <c r="C40" s="12"/>
      <c r="D40" s="12"/>
      <c r="E40" s="12"/>
      <c r="F40" s="13" t="s">
        <v>585</v>
      </c>
      <c r="G40" s="13" t="s">
        <v>1437</v>
      </c>
      <c r="H40" s="12" t="s">
        <v>13</v>
      </c>
      <c r="I40" s="13" t="s">
        <v>1439</v>
      </c>
      <c r="J40" s="13" t="s">
        <v>1438</v>
      </c>
    </row>
    <row r="41" spans="2:10" ht="45" customHeight="1" x14ac:dyDescent="0.2">
      <c r="B41" s="14">
        <v>34</v>
      </c>
      <c r="C41" s="15"/>
      <c r="D41" s="15"/>
      <c r="E41" s="15"/>
      <c r="F41" s="16" t="s">
        <v>1265</v>
      </c>
      <c r="G41" s="16" t="s">
        <v>1266</v>
      </c>
      <c r="H41" s="15" t="s">
        <v>13</v>
      </c>
      <c r="I41" s="16" t="s">
        <v>1267</v>
      </c>
      <c r="J41" s="16" t="s">
        <v>1268</v>
      </c>
    </row>
    <row r="42" spans="2:10" ht="45" customHeight="1" x14ac:dyDescent="0.2">
      <c r="B42" s="11">
        <v>35</v>
      </c>
      <c r="C42" s="12"/>
      <c r="D42" s="12"/>
      <c r="E42" s="12"/>
      <c r="F42" s="13" t="s">
        <v>476</v>
      </c>
      <c r="G42" s="13" t="s">
        <v>1333</v>
      </c>
      <c r="H42" s="12" t="s">
        <v>13</v>
      </c>
      <c r="I42" s="13" t="s">
        <v>1334</v>
      </c>
      <c r="J42" s="13" t="s">
        <v>1335</v>
      </c>
    </row>
    <row r="43" spans="2:10" ht="45" customHeight="1" x14ac:dyDescent="0.2">
      <c r="B43" s="14">
        <v>36</v>
      </c>
      <c r="C43" s="15"/>
      <c r="D43" s="15"/>
      <c r="E43" s="15"/>
      <c r="F43" s="16" t="s">
        <v>588</v>
      </c>
      <c r="G43" s="16" t="s">
        <v>1445</v>
      </c>
      <c r="H43" s="15" t="s">
        <v>13</v>
      </c>
      <c r="I43" s="16" t="s">
        <v>1446</v>
      </c>
      <c r="J43" s="16" t="s">
        <v>1447</v>
      </c>
    </row>
    <row r="44" spans="2:10" ht="45" customHeight="1" x14ac:dyDescent="0.2">
      <c r="B44" s="11">
        <v>37</v>
      </c>
      <c r="C44" s="12"/>
      <c r="D44" s="12"/>
      <c r="E44" s="12"/>
      <c r="F44" s="13" t="s">
        <v>590</v>
      </c>
      <c r="G44" s="13" t="s">
        <v>1442</v>
      </c>
      <c r="H44" s="12" t="s">
        <v>15</v>
      </c>
      <c r="I44" s="13" t="s">
        <v>1443</v>
      </c>
      <c r="J44" s="13" t="s">
        <v>1448</v>
      </c>
    </row>
    <row r="45" spans="2:10" ht="45" customHeight="1" x14ac:dyDescent="0.2">
      <c r="B45" s="14">
        <v>38</v>
      </c>
      <c r="C45" s="15"/>
      <c r="D45" s="15"/>
      <c r="E45" s="15"/>
      <c r="F45" s="16" t="s">
        <v>591</v>
      </c>
      <c r="G45" s="16" t="s">
        <v>1440</v>
      </c>
      <c r="H45" s="15" t="s">
        <v>15</v>
      </c>
      <c r="I45" s="16" t="s">
        <v>1441</v>
      </c>
      <c r="J45" s="16" t="s">
        <v>1444</v>
      </c>
    </row>
    <row r="46" spans="2:10" ht="45" customHeight="1" x14ac:dyDescent="0.2">
      <c r="B46" s="11">
        <v>39</v>
      </c>
      <c r="C46" s="12"/>
      <c r="D46" s="12"/>
      <c r="E46" s="12"/>
      <c r="F46" s="13" t="s">
        <v>477</v>
      </c>
      <c r="G46" s="13" t="s">
        <v>1336</v>
      </c>
      <c r="H46" s="12" t="s">
        <v>13</v>
      </c>
      <c r="I46" s="13" t="s">
        <v>1337</v>
      </c>
      <c r="J46" s="13" t="s">
        <v>1338</v>
      </c>
    </row>
    <row r="47" spans="2:10" ht="45" customHeight="1" x14ac:dyDescent="0.2">
      <c r="B47" s="14">
        <v>40</v>
      </c>
      <c r="C47" s="15"/>
      <c r="D47" s="15"/>
      <c r="E47" s="15"/>
      <c r="F47" s="16" t="s">
        <v>592</v>
      </c>
      <c r="G47" s="16" t="s">
        <v>1434</v>
      </c>
      <c r="H47" s="15" t="s">
        <v>11</v>
      </c>
      <c r="I47" s="16" t="s">
        <v>1435</v>
      </c>
      <c r="J47" s="16" t="s">
        <v>1436</v>
      </c>
    </row>
    <row r="48" spans="2:10" ht="45" customHeight="1" x14ac:dyDescent="0.2">
      <c r="B48" s="11">
        <v>41</v>
      </c>
      <c r="C48" s="12"/>
      <c r="D48" s="12"/>
      <c r="E48" s="12"/>
      <c r="F48" s="35" t="s">
        <v>593</v>
      </c>
      <c r="G48" s="13" t="s">
        <v>1378</v>
      </c>
      <c r="H48" s="12" t="s">
        <v>11</v>
      </c>
      <c r="I48" s="13" t="s">
        <v>1379</v>
      </c>
      <c r="J48" s="13" t="s">
        <v>1380</v>
      </c>
    </row>
    <row r="49" spans="2:10" ht="45" customHeight="1" x14ac:dyDescent="0.2">
      <c r="B49" s="14">
        <v>42</v>
      </c>
      <c r="C49" s="15"/>
      <c r="D49" s="15"/>
      <c r="E49" s="15"/>
      <c r="F49" s="16" t="s">
        <v>478</v>
      </c>
      <c r="G49" s="16" t="s">
        <v>1252</v>
      </c>
      <c r="H49" s="15" t="s">
        <v>15</v>
      </c>
      <c r="I49" s="52" t="s">
        <v>1253</v>
      </c>
      <c r="J49" s="52" t="s">
        <v>1254</v>
      </c>
    </row>
    <row r="50" spans="2:10" ht="45" customHeight="1" x14ac:dyDescent="0.2">
      <c r="B50" s="11">
        <v>43</v>
      </c>
      <c r="C50" s="12"/>
      <c r="D50" s="12"/>
      <c r="E50" s="12"/>
      <c r="F50" s="13" t="s">
        <v>594</v>
      </c>
      <c r="G50" s="24" t="s">
        <v>1247</v>
      </c>
      <c r="H50" s="51" t="s">
        <v>13</v>
      </c>
      <c r="I50" s="54" t="s">
        <v>1248</v>
      </c>
      <c r="J50" s="54" t="s">
        <v>1249</v>
      </c>
    </row>
    <row r="51" spans="2:10" ht="45" customHeight="1" x14ac:dyDescent="0.2">
      <c r="B51" s="14">
        <v>44</v>
      </c>
      <c r="C51" s="15"/>
      <c r="D51" s="15"/>
      <c r="E51" s="15"/>
      <c r="F51" s="16" t="s">
        <v>595</v>
      </c>
      <c r="G51" s="16" t="s">
        <v>1431</v>
      </c>
      <c r="H51" s="15" t="s">
        <v>15</v>
      </c>
      <c r="I51" s="53" t="s">
        <v>1432</v>
      </c>
      <c r="J51" s="53" t="s">
        <v>1433</v>
      </c>
    </row>
    <row r="52" spans="2:10" ht="45" customHeight="1" x14ac:dyDescent="0.2">
      <c r="B52" s="11">
        <v>45</v>
      </c>
      <c r="C52" s="12"/>
      <c r="D52" s="12"/>
      <c r="E52" s="12"/>
      <c r="F52" s="13" t="s">
        <v>596</v>
      </c>
      <c r="G52" s="13" t="s">
        <v>1392</v>
      </c>
      <c r="H52" s="12" t="s">
        <v>15</v>
      </c>
      <c r="I52" s="13" t="s">
        <v>1393</v>
      </c>
      <c r="J52" s="13" t="s">
        <v>1394</v>
      </c>
    </row>
    <row r="53" spans="2:10" ht="45" customHeight="1" x14ac:dyDescent="0.2">
      <c r="B53" s="14">
        <v>46</v>
      </c>
      <c r="C53" s="15"/>
      <c r="D53" s="15"/>
      <c r="E53" s="15"/>
      <c r="F53" s="16" t="s">
        <v>597</v>
      </c>
      <c r="G53" s="16" t="s">
        <v>1428</v>
      </c>
      <c r="H53" s="15" t="s">
        <v>15</v>
      </c>
      <c r="I53" s="16" t="s">
        <v>1429</v>
      </c>
      <c r="J53" s="16" t="s">
        <v>1430</v>
      </c>
    </row>
    <row r="54" spans="2:10" ht="45" customHeight="1" x14ac:dyDescent="0.2">
      <c r="B54" s="11">
        <v>47</v>
      </c>
      <c r="C54" s="12"/>
      <c r="D54" s="12"/>
      <c r="E54" s="12"/>
      <c r="F54" s="13" t="s">
        <v>598</v>
      </c>
      <c r="G54" s="13" t="s">
        <v>1425</v>
      </c>
      <c r="H54" s="12" t="s">
        <v>15</v>
      </c>
      <c r="I54" s="13" t="s">
        <v>1426</v>
      </c>
      <c r="J54" s="13" t="s">
        <v>1427</v>
      </c>
    </row>
    <row r="55" spans="2:10" ht="45" customHeight="1" x14ac:dyDescent="0.2">
      <c r="B55" s="14">
        <v>48</v>
      </c>
      <c r="C55" s="15"/>
      <c r="D55" s="15"/>
      <c r="E55" s="15"/>
      <c r="F55" s="16" t="s">
        <v>599</v>
      </c>
      <c r="G55" s="16" t="s">
        <v>1422</v>
      </c>
      <c r="H55" s="15" t="s">
        <v>15</v>
      </c>
      <c r="I55" s="16" t="s">
        <v>1423</v>
      </c>
      <c r="J55" s="16" t="s">
        <v>1424</v>
      </c>
    </row>
    <row r="56" spans="2:10" ht="45" customHeight="1" x14ac:dyDescent="0.2">
      <c r="B56" s="11">
        <v>49</v>
      </c>
      <c r="C56" s="12"/>
      <c r="D56" s="12"/>
      <c r="E56" s="12"/>
      <c r="F56" s="13" t="s">
        <v>600</v>
      </c>
      <c r="G56" s="13" t="s">
        <v>1419</v>
      </c>
      <c r="H56" s="12" t="s">
        <v>15</v>
      </c>
      <c r="I56" s="13" t="s">
        <v>1420</v>
      </c>
      <c r="J56" s="13" t="s">
        <v>1421</v>
      </c>
    </row>
    <row r="57" spans="2:10" ht="45" customHeight="1" x14ac:dyDescent="0.2">
      <c r="B57" s="14">
        <v>50</v>
      </c>
      <c r="C57" s="15"/>
      <c r="D57" s="15"/>
      <c r="E57" s="15"/>
      <c r="F57" s="16" t="s">
        <v>601</v>
      </c>
      <c r="G57" s="16" t="s">
        <v>1416</v>
      </c>
      <c r="H57" s="15" t="s">
        <v>15</v>
      </c>
      <c r="I57" s="16" t="s">
        <v>1417</v>
      </c>
      <c r="J57" s="16" t="s">
        <v>1418</v>
      </c>
    </row>
    <row r="58" spans="2:10" ht="45" customHeight="1" x14ac:dyDescent="0.2">
      <c r="B58" s="11">
        <v>51</v>
      </c>
      <c r="C58" s="12"/>
      <c r="D58" s="12"/>
      <c r="E58" s="12"/>
      <c r="F58" s="13" t="s">
        <v>602</v>
      </c>
      <c r="G58" s="13" t="s">
        <v>1413</v>
      </c>
      <c r="H58" s="12" t="s">
        <v>15</v>
      </c>
      <c r="I58" s="13" t="s">
        <v>1414</v>
      </c>
      <c r="J58" s="13" t="s">
        <v>1415</v>
      </c>
    </row>
    <row r="59" spans="2:10" ht="45" customHeight="1" x14ac:dyDescent="0.2">
      <c r="B59" s="14">
        <v>52</v>
      </c>
      <c r="C59" s="15"/>
      <c r="D59" s="15"/>
      <c r="E59" s="15"/>
      <c r="F59" s="16" t="s">
        <v>603</v>
      </c>
      <c r="G59" s="16" t="s">
        <v>1410</v>
      </c>
      <c r="H59" s="15" t="s">
        <v>15</v>
      </c>
      <c r="I59" s="16" t="s">
        <v>1411</v>
      </c>
      <c r="J59" s="16" t="s">
        <v>1412</v>
      </c>
    </row>
    <row r="60" spans="2:10" ht="45" customHeight="1" x14ac:dyDescent="0.2">
      <c r="B60" s="11">
        <v>53</v>
      </c>
      <c r="C60" s="12"/>
      <c r="D60" s="12"/>
      <c r="E60" s="12"/>
      <c r="F60" s="13" t="s">
        <v>604</v>
      </c>
      <c r="G60" s="13" t="s">
        <v>1407</v>
      </c>
      <c r="H60" s="12" t="s">
        <v>15</v>
      </c>
      <c r="I60" s="13" t="s">
        <v>1408</v>
      </c>
      <c r="J60" s="13" t="s">
        <v>1409</v>
      </c>
    </row>
    <row r="61" spans="2:10" ht="45" customHeight="1" x14ac:dyDescent="0.2">
      <c r="B61" s="14">
        <v>54</v>
      </c>
      <c r="C61" s="15"/>
      <c r="D61" s="15"/>
      <c r="E61" s="15"/>
      <c r="F61" s="36" t="s">
        <v>605</v>
      </c>
      <c r="G61" s="16" t="s">
        <v>1404</v>
      </c>
      <c r="H61" s="15" t="s">
        <v>15</v>
      </c>
      <c r="I61" s="16" t="s">
        <v>1405</v>
      </c>
      <c r="J61" s="16" t="s">
        <v>1406</v>
      </c>
    </row>
    <row r="62" spans="2:10" ht="45" customHeight="1" x14ac:dyDescent="0.2">
      <c r="B62" s="11">
        <v>55</v>
      </c>
      <c r="C62" s="12"/>
      <c r="D62" s="12"/>
      <c r="E62" s="12"/>
      <c r="F62" s="13" t="s">
        <v>606</v>
      </c>
      <c r="G62" s="13" t="s">
        <v>1401</v>
      </c>
      <c r="H62" s="12" t="s">
        <v>15</v>
      </c>
      <c r="I62" s="13" t="s">
        <v>1402</v>
      </c>
      <c r="J62" s="13" t="s">
        <v>1403</v>
      </c>
    </row>
    <row r="63" spans="2:10" ht="45" customHeight="1" x14ac:dyDescent="0.2">
      <c r="B63" s="14">
        <v>56</v>
      </c>
      <c r="C63" s="15"/>
      <c r="D63" s="15"/>
      <c r="E63" s="15"/>
      <c r="F63" s="16" t="s">
        <v>607</v>
      </c>
      <c r="G63" s="16" t="s">
        <v>1398</v>
      </c>
      <c r="H63" s="15" t="s">
        <v>15</v>
      </c>
      <c r="I63" s="16" t="s">
        <v>1399</v>
      </c>
      <c r="J63" s="16" t="s">
        <v>1400</v>
      </c>
    </row>
    <row r="64" spans="2:10" ht="45" customHeight="1" x14ac:dyDescent="0.2">
      <c r="B64" s="11">
        <v>57</v>
      </c>
      <c r="C64" s="12"/>
      <c r="D64" s="12"/>
      <c r="E64" s="12"/>
      <c r="F64" s="13" t="s">
        <v>608</v>
      </c>
      <c r="G64" s="13" t="s">
        <v>1395</v>
      </c>
      <c r="H64" s="12" t="s">
        <v>15</v>
      </c>
      <c r="I64" s="13" t="s">
        <v>1396</v>
      </c>
      <c r="J64" s="13" t="s">
        <v>1397</v>
      </c>
    </row>
    <row r="65" spans="2:10" ht="45" customHeight="1" x14ac:dyDescent="0.2">
      <c r="B65" s="14">
        <v>58</v>
      </c>
      <c r="C65" s="15"/>
      <c r="D65" s="15"/>
      <c r="E65" s="15"/>
      <c r="F65" s="16" t="s">
        <v>609</v>
      </c>
      <c r="G65" s="16" t="s">
        <v>1314</v>
      </c>
      <c r="H65" s="15" t="s">
        <v>13</v>
      </c>
      <c r="I65" s="16" t="s">
        <v>1315</v>
      </c>
      <c r="J65" s="16" t="s">
        <v>1391</v>
      </c>
    </row>
    <row r="66" spans="2:10" ht="45" customHeight="1" x14ac:dyDescent="0.2">
      <c r="B66" s="11">
        <v>59</v>
      </c>
      <c r="C66" s="12"/>
      <c r="D66" s="12"/>
      <c r="E66" s="12"/>
      <c r="F66" s="35" t="s">
        <v>610</v>
      </c>
      <c r="G66" s="13" t="s">
        <v>1387</v>
      </c>
      <c r="H66" s="12" t="s">
        <v>13</v>
      </c>
      <c r="I66" s="13" t="s">
        <v>1388</v>
      </c>
      <c r="J66" s="13" t="s">
        <v>1389</v>
      </c>
    </row>
    <row r="67" spans="2:10" ht="45" customHeight="1" x14ac:dyDescent="0.2">
      <c r="B67" s="14">
        <v>60</v>
      </c>
      <c r="C67" s="15"/>
      <c r="D67" s="15"/>
      <c r="E67" s="15"/>
      <c r="F67" s="16" t="s">
        <v>611</v>
      </c>
      <c r="G67" s="16" t="s">
        <v>1382</v>
      </c>
      <c r="H67" s="15" t="s">
        <v>15</v>
      </c>
      <c r="I67" s="16" t="s">
        <v>1383</v>
      </c>
      <c r="J67" s="16" t="s">
        <v>1390</v>
      </c>
    </row>
    <row r="68" spans="2:10" ht="45" customHeight="1" x14ac:dyDescent="0.2">
      <c r="B68" s="11">
        <v>61</v>
      </c>
      <c r="C68" s="12"/>
      <c r="D68" s="12"/>
      <c r="E68" s="12"/>
      <c r="F68" s="13" t="s">
        <v>612</v>
      </c>
      <c r="G68" s="13" t="s">
        <v>1375</v>
      </c>
      <c r="H68" s="12" t="s">
        <v>15</v>
      </c>
      <c r="I68" s="13" t="s">
        <v>1376</v>
      </c>
      <c r="J68" s="13" t="s">
        <v>1377</v>
      </c>
    </row>
    <row r="69" spans="2:10" ht="45" customHeight="1" x14ac:dyDescent="0.2">
      <c r="B69" s="14">
        <v>62</v>
      </c>
      <c r="C69" s="15"/>
      <c r="D69" s="15"/>
      <c r="E69" s="15"/>
      <c r="F69" s="16" t="s">
        <v>613</v>
      </c>
      <c r="G69" s="16" t="s">
        <v>1370</v>
      </c>
      <c r="H69" s="15" t="s">
        <v>13</v>
      </c>
      <c r="I69" s="16" t="s">
        <v>1371</v>
      </c>
      <c r="J69" s="16" t="s">
        <v>1372</v>
      </c>
    </row>
    <row r="70" spans="2:10" ht="45" customHeight="1" x14ac:dyDescent="0.2">
      <c r="B70" s="11">
        <v>63</v>
      </c>
      <c r="C70" s="12"/>
      <c r="D70" s="12"/>
      <c r="E70" s="12"/>
      <c r="F70" s="13" t="s">
        <v>481</v>
      </c>
      <c r="G70" s="13" t="s">
        <v>1373</v>
      </c>
      <c r="H70" s="12" t="s">
        <v>13</v>
      </c>
      <c r="I70" s="13" t="s">
        <v>1374</v>
      </c>
      <c r="J70" s="13" t="s">
        <v>1369</v>
      </c>
    </row>
    <row r="71" spans="2:10" ht="45" customHeight="1" x14ac:dyDescent="0.2">
      <c r="B71" s="14">
        <v>64</v>
      </c>
      <c r="C71" s="15"/>
      <c r="D71" s="15"/>
      <c r="E71" s="15"/>
      <c r="F71" s="16" t="s">
        <v>613</v>
      </c>
      <c r="G71" s="16" t="s">
        <v>1370</v>
      </c>
      <c r="H71" s="15" t="s">
        <v>13</v>
      </c>
      <c r="I71" s="16" t="s">
        <v>1371</v>
      </c>
      <c r="J71" s="16" t="s">
        <v>1372</v>
      </c>
    </row>
    <row r="72" spans="2:10" ht="45" customHeight="1" x14ac:dyDescent="0.2">
      <c r="B72" s="11">
        <v>65</v>
      </c>
      <c r="C72" s="12"/>
      <c r="D72" s="12"/>
      <c r="E72" s="12"/>
      <c r="F72" s="13" t="s">
        <v>482</v>
      </c>
      <c r="G72" s="13" t="s">
        <v>1367</v>
      </c>
      <c r="H72" s="12" t="s">
        <v>13</v>
      </c>
      <c r="I72" s="13" t="s">
        <v>1368</v>
      </c>
      <c r="J72" s="13" t="s">
        <v>1369</v>
      </c>
    </row>
    <row r="73" spans="2:10" ht="45" customHeight="1" x14ac:dyDescent="0.2">
      <c r="B73" s="14">
        <v>66</v>
      </c>
      <c r="C73" s="15"/>
      <c r="D73" s="15"/>
      <c r="E73" s="15"/>
      <c r="F73" s="16" t="s">
        <v>614</v>
      </c>
      <c r="G73" s="16" t="s">
        <v>1344</v>
      </c>
      <c r="H73" s="15" t="s">
        <v>13</v>
      </c>
      <c r="I73" s="16" t="s">
        <v>1345</v>
      </c>
      <c r="J73" s="16" t="s">
        <v>1346</v>
      </c>
    </row>
    <row r="74" spans="2:10" ht="45" customHeight="1" x14ac:dyDescent="0.2">
      <c r="B74" s="11">
        <v>67</v>
      </c>
      <c r="C74" s="12"/>
      <c r="D74" s="12"/>
      <c r="E74" s="12"/>
      <c r="F74" s="13" t="s">
        <v>615</v>
      </c>
      <c r="G74" s="13" t="s">
        <v>1350</v>
      </c>
      <c r="H74" s="12" t="s">
        <v>15</v>
      </c>
      <c r="I74" s="13" t="s">
        <v>1351</v>
      </c>
      <c r="J74" s="13" t="s">
        <v>1352</v>
      </c>
    </row>
    <row r="75" spans="2:10" ht="45" customHeight="1" x14ac:dyDescent="0.2">
      <c r="B75" s="14">
        <v>68</v>
      </c>
      <c r="C75" s="15"/>
      <c r="D75" s="15"/>
      <c r="E75" s="15"/>
      <c r="F75" s="16" t="s">
        <v>483</v>
      </c>
      <c r="G75" s="16" t="s">
        <v>1364</v>
      </c>
      <c r="H75" s="15" t="s">
        <v>15</v>
      </c>
      <c r="I75" s="16" t="s">
        <v>1365</v>
      </c>
      <c r="J75" s="16" t="s">
        <v>1366</v>
      </c>
    </row>
    <row r="76" spans="2:10" ht="45" customHeight="1" x14ac:dyDescent="0.2">
      <c r="B76" s="11">
        <v>69</v>
      </c>
      <c r="C76" s="12"/>
      <c r="D76" s="12"/>
      <c r="E76" s="12"/>
      <c r="F76" s="13" t="s">
        <v>619</v>
      </c>
      <c r="G76" s="13" t="s">
        <v>1361</v>
      </c>
      <c r="H76" s="12"/>
      <c r="I76" s="13" t="s">
        <v>1362</v>
      </c>
      <c r="J76" s="13" t="s">
        <v>1363</v>
      </c>
    </row>
    <row r="77" spans="2:10" ht="45" customHeight="1" x14ac:dyDescent="0.2">
      <c r="B77" s="14">
        <v>70</v>
      </c>
      <c r="C77" s="15"/>
      <c r="D77" s="15"/>
      <c r="E77" s="15"/>
      <c r="F77" s="16" t="s">
        <v>620</v>
      </c>
      <c r="G77" s="16" t="s">
        <v>1358</v>
      </c>
      <c r="H77" s="15" t="s">
        <v>15</v>
      </c>
      <c r="I77" s="16" t="s">
        <v>1359</v>
      </c>
      <c r="J77" s="16" t="s">
        <v>1360</v>
      </c>
    </row>
    <row r="78" spans="2:10" ht="45" customHeight="1" x14ac:dyDescent="0.2">
      <c r="B78" s="11">
        <v>71</v>
      </c>
      <c r="C78" s="12"/>
      <c r="D78" s="12"/>
      <c r="E78" s="12"/>
      <c r="F78" s="13" t="s">
        <v>616</v>
      </c>
      <c r="G78" s="13" t="s">
        <v>1356</v>
      </c>
      <c r="H78" s="12" t="s">
        <v>13</v>
      </c>
      <c r="I78" s="13" t="s">
        <v>1357</v>
      </c>
      <c r="J78" s="13" t="s">
        <v>1471</v>
      </c>
    </row>
    <row r="79" spans="2:10" ht="45" customHeight="1" x14ac:dyDescent="0.2">
      <c r="B79" s="14">
        <v>72</v>
      </c>
      <c r="C79" s="15"/>
      <c r="D79" s="15"/>
      <c r="E79" s="15"/>
      <c r="F79" s="16" t="s">
        <v>621</v>
      </c>
      <c r="G79" s="16" t="s">
        <v>1347</v>
      </c>
      <c r="H79" s="15" t="s">
        <v>15</v>
      </c>
      <c r="I79" s="16" t="s">
        <v>1348</v>
      </c>
      <c r="J79" s="16" t="s">
        <v>1349</v>
      </c>
    </row>
    <row r="80" spans="2:10" ht="45" customHeight="1" x14ac:dyDescent="0.2">
      <c r="B80" s="11">
        <v>73</v>
      </c>
      <c r="C80" s="12"/>
      <c r="D80" s="12"/>
      <c r="E80" s="12"/>
      <c r="F80" s="13" t="s">
        <v>622</v>
      </c>
      <c r="G80" s="13" t="s">
        <v>1342</v>
      </c>
      <c r="H80" s="12" t="s">
        <v>13</v>
      </c>
      <c r="I80" s="13" t="s">
        <v>1343</v>
      </c>
      <c r="J80" s="13" t="s">
        <v>1472</v>
      </c>
    </row>
    <row r="81" spans="2:11" ht="45" customHeight="1" x14ac:dyDescent="0.2">
      <c r="B81" s="14">
        <v>74</v>
      </c>
      <c r="C81" s="15"/>
      <c r="D81" s="15"/>
      <c r="E81" s="15"/>
      <c r="F81" s="16" t="s">
        <v>623</v>
      </c>
      <c r="G81" s="16" t="s">
        <v>1353</v>
      </c>
      <c r="H81" s="15" t="s">
        <v>15</v>
      </c>
      <c r="I81" s="16" t="s">
        <v>1354</v>
      </c>
      <c r="J81" s="16" t="s">
        <v>1355</v>
      </c>
    </row>
    <row r="82" spans="2:11" ht="45" customHeight="1" x14ac:dyDescent="0.2">
      <c r="B82" s="11">
        <v>75</v>
      </c>
      <c r="C82" s="12"/>
      <c r="D82" s="12"/>
      <c r="E82" s="12"/>
      <c r="F82" s="13" t="s">
        <v>617</v>
      </c>
      <c r="G82" s="13" t="s">
        <v>1339</v>
      </c>
      <c r="H82" s="12" t="s">
        <v>13</v>
      </c>
      <c r="I82" s="13" t="s">
        <v>1340</v>
      </c>
      <c r="J82" s="13" t="s">
        <v>1341</v>
      </c>
      <c r="K82" t="s">
        <v>1300</v>
      </c>
    </row>
    <row r="83" spans="2:11" ht="45" customHeight="1" x14ac:dyDescent="0.2">
      <c r="B83" s="14">
        <v>76</v>
      </c>
      <c r="C83" s="15"/>
      <c r="D83" s="15"/>
      <c r="E83" s="15"/>
      <c r="F83" s="16" t="s">
        <v>618</v>
      </c>
      <c r="G83" s="16" t="s">
        <v>1272</v>
      </c>
      <c r="H83" s="15" t="s">
        <v>13</v>
      </c>
      <c r="I83" s="36" t="s">
        <v>1273</v>
      </c>
      <c r="J83" s="16" t="s">
        <v>1274</v>
      </c>
    </row>
    <row r="84" spans="2:11" ht="45" customHeight="1" x14ac:dyDescent="0.2">
      <c r="B84" s="11">
        <v>77</v>
      </c>
      <c r="C84" s="12"/>
      <c r="D84" s="12"/>
      <c r="E84" s="12"/>
      <c r="F84" s="13" t="s">
        <v>624</v>
      </c>
      <c r="G84" s="13" t="s">
        <v>1278</v>
      </c>
      <c r="H84" s="12" t="s">
        <v>15</v>
      </c>
      <c r="I84" s="13" t="s">
        <v>1279</v>
      </c>
      <c r="J84" s="13" t="s">
        <v>1280</v>
      </c>
    </row>
    <row r="85" spans="2:11" ht="45" customHeight="1" x14ac:dyDescent="0.2">
      <c r="B85" s="14">
        <v>78</v>
      </c>
      <c r="C85" s="15"/>
      <c r="D85" s="15"/>
      <c r="E85" s="15"/>
      <c r="F85" s="24" t="s">
        <v>1313</v>
      </c>
      <c r="G85" s="16" t="s">
        <v>1317</v>
      </c>
      <c r="H85" s="15" t="s">
        <v>13</v>
      </c>
      <c r="I85" s="16" t="s">
        <v>1318</v>
      </c>
      <c r="J85" s="16" t="s">
        <v>1319</v>
      </c>
    </row>
    <row r="86" spans="2:11" ht="45" customHeight="1" x14ac:dyDescent="0.2">
      <c r="B86" s="11">
        <v>79</v>
      </c>
      <c r="C86" s="12"/>
      <c r="D86" s="12"/>
      <c r="E86" s="12"/>
      <c r="F86" s="13" t="s">
        <v>628</v>
      </c>
      <c r="G86" s="13" t="s">
        <v>1310</v>
      </c>
      <c r="H86" s="12" t="s">
        <v>15</v>
      </c>
      <c r="I86" s="13" t="s">
        <v>1311</v>
      </c>
      <c r="J86" s="13" t="s">
        <v>1312</v>
      </c>
    </row>
    <row r="87" spans="2:11" ht="45" customHeight="1" x14ac:dyDescent="0.2">
      <c r="B87" s="14">
        <v>80</v>
      </c>
      <c r="C87" s="15"/>
      <c r="D87" s="15"/>
      <c r="E87" s="15"/>
      <c r="F87" s="16" t="s">
        <v>630</v>
      </c>
      <c r="G87" s="16" t="s">
        <v>1301</v>
      </c>
      <c r="H87" s="15" t="s">
        <v>15</v>
      </c>
      <c r="I87" s="16" t="s">
        <v>1302</v>
      </c>
      <c r="J87" s="16" t="s">
        <v>1303</v>
      </c>
    </row>
    <row r="88" spans="2:11" ht="45" customHeight="1" x14ac:dyDescent="0.2">
      <c r="B88" s="11">
        <v>81</v>
      </c>
      <c r="C88" s="12"/>
      <c r="D88" s="12"/>
      <c r="E88" s="12"/>
      <c r="F88" s="13" t="s">
        <v>1293</v>
      </c>
      <c r="G88" s="13" t="s">
        <v>1294</v>
      </c>
      <c r="H88" s="12" t="s">
        <v>15</v>
      </c>
      <c r="I88" s="13" t="s">
        <v>1295</v>
      </c>
      <c r="J88" s="13" t="s">
        <v>1296</v>
      </c>
    </row>
    <row r="89" spans="2:11" ht="45" customHeight="1" x14ac:dyDescent="0.2">
      <c r="B89" s="14">
        <v>82</v>
      </c>
      <c r="C89" s="15"/>
      <c r="D89" s="15"/>
      <c r="E89" s="15"/>
      <c r="F89" s="16" t="s">
        <v>484</v>
      </c>
      <c r="G89" s="16" t="s">
        <v>544</v>
      </c>
      <c r="H89" s="15" t="s">
        <v>15</v>
      </c>
      <c r="I89" s="16" t="s">
        <v>545</v>
      </c>
      <c r="J89" s="16" t="s">
        <v>546</v>
      </c>
    </row>
    <row r="90" spans="2:11" ht="45" customHeight="1" x14ac:dyDescent="0.2">
      <c r="B90" s="11">
        <v>83</v>
      </c>
      <c r="C90" s="12"/>
      <c r="D90" s="12"/>
      <c r="E90" s="12"/>
      <c r="F90" s="13" t="s">
        <v>485</v>
      </c>
      <c r="G90" s="13" t="s">
        <v>547</v>
      </c>
      <c r="H90" s="12" t="s">
        <v>15</v>
      </c>
      <c r="I90" s="13" t="s">
        <v>548</v>
      </c>
      <c r="J90" s="13" t="s">
        <v>549</v>
      </c>
    </row>
    <row r="91" spans="2:11" ht="45" customHeight="1" x14ac:dyDescent="0.2">
      <c r="B91" s="14">
        <v>84</v>
      </c>
      <c r="C91" s="15"/>
      <c r="D91" s="15"/>
      <c r="E91" s="15"/>
      <c r="F91" s="16" t="s">
        <v>631</v>
      </c>
      <c r="G91" s="16" t="s">
        <v>1290</v>
      </c>
      <c r="H91" s="15" t="s">
        <v>13</v>
      </c>
      <c r="I91" s="16" t="s">
        <v>1291</v>
      </c>
      <c r="J91" s="16" t="s">
        <v>1292</v>
      </c>
    </row>
    <row r="92" spans="2:11" ht="45" customHeight="1" x14ac:dyDescent="0.2">
      <c r="B92" s="11">
        <v>85</v>
      </c>
      <c r="C92" s="12"/>
      <c r="D92" s="12"/>
      <c r="E92" s="12"/>
      <c r="F92" s="13" t="s">
        <v>486</v>
      </c>
      <c r="G92" s="13" t="s">
        <v>1287</v>
      </c>
      <c r="H92" s="12" t="s">
        <v>13</v>
      </c>
      <c r="I92" s="13" t="s">
        <v>1288</v>
      </c>
      <c r="J92" s="13" t="s">
        <v>1289</v>
      </c>
    </row>
    <row r="93" spans="2:11" ht="45" customHeight="1" x14ac:dyDescent="0.2">
      <c r="B93" s="14">
        <v>86</v>
      </c>
      <c r="C93" s="15"/>
      <c r="D93" s="15"/>
      <c r="E93" s="15"/>
      <c r="F93" s="16" t="s">
        <v>633</v>
      </c>
      <c r="G93" s="16" t="s">
        <v>1211</v>
      </c>
      <c r="H93" s="15" t="s">
        <v>11</v>
      </c>
      <c r="I93" s="16" t="s">
        <v>1212</v>
      </c>
      <c r="J93" s="16" t="s">
        <v>1214</v>
      </c>
    </row>
    <row r="94" spans="2:11" ht="45" customHeight="1" x14ac:dyDescent="0.2">
      <c r="B94" s="11">
        <v>87</v>
      </c>
      <c r="C94" s="12"/>
      <c r="D94" s="12"/>
      <c r="E94" s="12"/>
      <c r="F94" s="13" t="s">
        <v>635</v>
      </c>
      <c r="G94" s="13" t="s">
        <v>1284</v>
      </c>
      <c r="H94" s="12" t="s">
        <v>15</v>
      </c>
      <c r="I94" s="13" t="s">
        <v>1285</v>
      </c>
      <c r="J94" s="13" t="s">
        <v>1286</v>
      </c>
    </row>
    <row r="95" spans="2:11" ht="45" customHeight="1" x14ac:dyDescent="0.2">
      <c r="B95" s="14">
        <v>88</v>
      </c>
      <c r="C95" s="15"/>
      <c r="D95" s="15"/>
      <c r="E95" s="15"/>
      <c r="F95" s="16" t="s">
        <v>487</v>
      </c>
      <c r="G95" s="16" t="s">
        <v>532</v>
      </c>
      <c r="H95" s="15" t="s">
        <v>15</v>
      </c>
      <c r="I95" s="16" t="s">
        <v>531</v>
      </c>
      <c r="J95" s="16" t="s">
        <v>533</v>
      </c>
    </row>
    <row r="96" spans="2:11" ht="45" customHeight="1" x14ac:dyDescent="0.2">
      <c r="B96" s="11">
        <v>89</v>
      </c>
      <c r="C96" s="12"/>
      <c r="D96" s="12"/>
      <c r="E96" s="12"/>
      <c r="F96" s="13" t="s">
        <v>488</v>
      </c>
      <c r="G96" s="13" t="s">
        <v>534</v>
      </c>
      <c r="H96" s="12" t="s">
        <v>11</v>
      </c>
      <c r="I96" s="13" t="s">
        <v>535</v>
      </c>
      <c r="J96" s="13" t="s">
        <v>536</v>
      </c>
    </row>
    <row r="97" spans="2:10" ht="45" customHeight="1" x14ac:dyDescent="0.2">
      <c r="B97" s="14">
        <v>90</v>
      </c>
      <c r="C97" s="15"/>
      <c r="D97" s="15"/>
      <c r="E97" s="15"/>
      <c r="F97" s="16" t="s">
        <v>636</v>
      </c>
      <c r="G97" s="16" t="s">
        <v>1281</v>
      </c>
      <c r="H97" s="15" t="s">
        <v>15</v>
      </c>
      <c r="I97" s="16" t="s">
        <v>1282</v>
      </c>
      <c r="J97" s="16" t="s">
        <v>1283</v>
      </c>
    </row>
    <row r="98" spans="2:10" ht="45" customHeight="1" x14ac:dyDescent="0.2">
      <c r="B98" s="11">
        <v>91</v>
      </c>
      <c r="C98" s="12"/>
      <c r="D98" s="12"/>
      <c r="E98" s="12"/>
      <c r="F98" s="13" t="s">
        <v>639</v>
      </c>
      <c r="G98" s="13" t="s">
        <v>1204</v>
      </c>
      <c r="H98" s="12" t="s">
        <v>13</v>
      </c>
      <c r="I98" s="13" t="s">
        <v>1205</v>
      </c>
      <c r="J98" s="13" t="s">
        <v>1206</v>
      </c>
    </row>
    <row r="99" spans="2:10" ht="45" customHeight="1" x14ac:dyDescent="0.2">
      <c r="B99" s="14">
        <v>92</v>
      </c>
      <c r="C99" s="15"/>
      <c r="D99" s="15"/>
      <c r="E99" s="15"/>
      <c r="F99" s="16" t="s">
        <v>641</v>
      </c>
      <c r="G99" s="16" t="s">
        <v>1202</v>
      </c>
      <c r="H99" s="15" t="s">
        <v>11</v>
      </c>
      <c r="I99" s="16" t="s">
        <v>1203</v>
      </c>
      <c r="J99" s="16" t="s">
        <v>1207</v>
      </c>
    </row>
    <row r="100" spans="2:10" ht="45" customHeight="1" x14ac:dyDescent="0.2">
      <c r="B100" s="11">
        <v>93</v>
      </c>
      <c r="C100" s="12"/>
      <c r="D100" s="12"/>
      <c r="E100" s="12"/>
      <c r="F100" s="13" t="s">
        <v>650</v>
      </c>
      <c r="G100" s="24" t="s">
        <v>813</v>
      </c>
      <c r="H100" s="12" t="s">
        <v>15</v>
      </c>
      <c r="I100" s="13" t="s">
        <v>814</v>
      </c>
      <c r="J100" s="13" t="s">
        <v>815</v>
      </c>
    </row>
    <row r="101" spans="2:10" ht="45" customHeight="1" x14ac:dyDescent="0.2">
      <c r="B101" s="14">
        <v>94</v>
      </c>
      <c r="C101" s="15"/>
      <c r="D101" s="15"/>
      <c r="E101" s="15"/>
      <c r="F101" s="16" t="s">
        <v>642</v>
      </c>
      <c r="G101" s="16" t="s">
        <v>810</v>
      </c>
      <c r="H101" s="15" t="s">
        <v>13</v>
      </c>
      <c r="I101" s="16" t="s">
        <v>811</v>
      </c>
      <c r="J101" s="16" t="s">
        <v>812</v>
      </c>
    </row>
    <row r="102" spans="2:10" ht="45" customHeight="1" x14ac:dyDescent="0.2">
      <c r="B102" s="11">
        <v>95</v>
      </c>
      <c r="C102" s="12"/>
      <c r="D102" s="12"/>
      <c r="E102" s="12"/>
      <c r="F102" s="13" t="s">
        <v>653</v>
      </c>
      <c r="G102" s="13" t="s">
        <v>806</v>
      </c>
      <c r="H102" s="12" t="s">
        <v>13</v>
      </c>
      <c r="I102" s="13" t="s">
        <v>807</v>
      </c>
      <c r="J102" s="13" t="s">
        <v>808</v>
      </c>
    </row>
    <row r="103" spans="2:10" ht="45" customHeight="1" x14ac:dyDescent="0.2">
      <c r="B103" s="14">
        <v>96</v>
      </c>
      <c r="C103" s="15"/>
      <c r="D103" s="15"/>
      <c r="E103" s="15"/>
      <c r="F103" s="16" t="s">
        <v>489</v>
      </c>
      <c r="G103" s="16" t="s">
        <v>801</v>
      </c>
      <c r="H103" s="15" t="s">
        <v>15</v>
      </c>
      <c r="I103" s="16" t="s">
        <v>802</v>
      </c>
      <c r="J103" s="16" t="s">
        <v>803</v>
      </c>
    </row>
    <row r="104" spans="2:10" ht="45" customHeight="1" x14ac:dyDescent="0.2">
      <c r="B104" s="11">
        <v>97</v>
      </c>
      <c r="C104" s="12"/>
      <c r="D104" s="12"/>
      <c r="E104" s="12"/>
      <c r="F104" s="13" t="s">
        <v>708</v>
      </c>
      <c r="G104" s="13" t="s">
        <v>717</v>
      </c>
      <c r="H104" s="12" t="s">
        <v>15</v>
      </c>
      <c r="I104" s="13" t="s">
        <v>718</v>
      </c>
      <c r="J104" s="13" t="s">
        <v>719</v>
      </c>
    </row>
    <row r="105" spans="2:10" ht="45" customHeight="1" x14ac:dyDescent="0.2">
      <c r="B105" s="14">
        <v>98</v>
      </c>
      <c r="C105" s="15"/>
      <c r="D105" s="15"/>
      <c r="E105" s="15"/>
      <c r="F105" s="16" t="s">
        <v>655</v>
      </c>
      <c r="G105" s="24" t="s">
        <v>703</v>
      </c>
      <c r="H105" s="15" t="s">
        <v>13</v>
      </c>
      <c r="I105" s="16" t="s">
        <v>705</v>
      </c>
      <c r="J105" s="16" t="s">
        <v>706</v>
      </c>
    </row>
    <row r="106" spans="2:10" ht="45" customHeight="1" x14ac:dyDescent="0.2">
      <c r="B106" s="11">
        <v>99</v>
      </c>
      <c r="C106" s="12"/>
      <c r="D106" s="12"/>
      <c r="E106" s="12"/>
      <c r="F106" s="13" t="s">
        <v>707</v>
      </c>
      <c r="G106" s="13" t="s">
        <v>694</v>
      </c>
      <c r="H106" s="12" t="s">
        <v>13</v>
      </c>
      <c r="I106" s="13" t="s">
        <v>695</v>
      </c>
      <c r="J106" s="13" t="s">
        <v>696</v>
      </c>
    </row>
    <row r="107" spans="2:10" ht="45" customHeight="1" x14ac:dyDescent="0.2">
      <c r="B107" s="14">
        <v>100</v>
      </c>
      <c r="C107" s="15"/>
      <c r="D107" s="15"/>
      <c r="E107" s="15"/>
      <c r="F107" s="16" t="s">
        <v>644</v>
      </c>
      <c r="G107" s="16" t="s">
        <v>689</v>
      </c>
      <c r="H107" s="15" t="s">
        <v>13</v>
      </c>
      <c r="I107" s="16" t="s">
        <v>690</v>
      </c>
      <c r="J107" s="16" t="s">
        <v>691</v>
      </c>
    </row>
    <row r="110" spans="2:10" ht="16" x14ac:dyDescent="0.25">
      <c r="B110" s="3" t="s">
        <v>168</v>
      </c>
    </row>
    <row r="112" spans="2:10" x14ac:dyDescent="0.2">
      <c r="B112" s="18" t="s">
        <v>169</v>
      </c>
      <c r="C112" s="6">
        <f>COUNTA(H8:H107)</f>
        <v>99</v>
      </c>
    </row>
    <row r="113" spans="2:3" x14ac:dyDescent="0.2">
      <c r="B113" s="18" t="s">
        <v>41</v>
      </c>
      <c r="C113" s="19">
        <f>COUNTIF(H8:H107,"PASS")</f>
        <v>9</v>
      </c>
    </row>
    <row r="114" spans="2:3" x14ac:dyDescent="0.2">
      <c r="B114" s="18" t="s">
        <v>42</v>
      </c>
      <c r="C114" s="20">
        <f>COUNTIF(H8:H107,"PARTIAL FAIL")</f>
        <v>41</v>
      </c>
    </row>
    <row r="115" spans="2:3" x14ac:dyDescent="0.2">
      <c r="B115" s="18" t="s">
        <v>43</v>
      </c>
      <c r="C115" s="21">
        <f>COUNTIF(H8:H107,"FAIL")</f>
        <v>49</v>
      </c>
    </row>
    <row r="117" spans="2:3" x14ac:dyDescent="0.2">
      <c r="B117" s="18" t="s">
        <v>170</v>
      </c>
      <c r="C117" s="22">
        <f>IF(C112&gt;0,C113/C112,0)</f>
        <v>9.0909090909090912E-2</v>
      </c>
    </row>
  </sheetData>
  <mergeCells count="1">
    <mergeCell ref="C5:J5"/>
  </mergeCells>
  <dataValidations count="2">
    <dataValidation type="list" allowBlank="1" errorTitle="Invalid Result" error="Please select PASS, PARTIAL FAIL, or FAIL" sqref="H8:H107" xr:uid="{00000000-0002-0000-0400-000000000000}">
      <formula1>"PASS,PARTIAL FAIL,FAIL"</formula1>
    </dataValidation>
    <dataValidation type="list" allowBlank="1" sqref="E8:E107" xr:uid="{00000000-0002-0000-0400-000001000000}">
      <formula1>"Case Notes,Teams Chat,Phone Call,Walk-up,Email,Other"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Overview</vt:lpstr>
      <vt:lpstr>Tractor Fitment</vt:lpstr>
      <vt:lpstr>Product History</vt:lpstr>
      <vt:lpstr>Engine History</vt:lpstr>
      <vt:lpstr>WPP Supervisor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Matthew Coz</cp:lastModifiedBy>
  <cp:revision/>
  <dcterms:created xsi:type="dcterms:W3CDTF">2026-02-06T00:07:41Z</dcterms:created>
  <dcterms:modified xsi:type="dcterms:W3CDTF">2026-02-18T14:50:46Z</dcterms:modified>
  <cp:category/>
  <cp:contentStatus/>
</cp:coreProperties>
</file>